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pps\Documents\Research\2D_Conduction\Tests\"/>
    </mc:Choice>
  </mc:AlternateContent>
  <xr:revisionPtr revIDLastSave="0" documentId="13_ncr:1_{CBB0B737-9B2D-442E-89D1-CB46982E6855}" xr6:coauthVersionLast="44" xr6:coauthVersionMax="44" xr10:uidLastSave="{00000000-0000-0000-0000-000000000000}"/>
  <bookViews>
    <workbookView xWindow="-120" yWindow="-120" windowWidth="20730" windowHeight="11160" activeTab="3" xr2:uid="{B2402E43-B038-44F0-8C18-7ACD788C4A69}"/>
  </bookViews>
  <sheets>
    <sheet name="Tests" sheetId="11" r:id="rId1"/>
    <sheet name="Tests-Pl" sheetId="12" r:id="rId2"/>
    <sheet name="Tests-Axi" sheetId="6" r:id="rId3"/>
    <sheet name="nano-Axi" sheetId="9" r:id="rId4"/>
    <sheet name="Graphs" sheetId="5" r:id="rId5"/>
    <sheet name="Conserv" sheetId="1" r:id="rId6"/>
    <sheet name="Stacy2014" sheetId="10" r:id="rId7"/>
    <sheet name="ign" sheetId="7" r:id="rId8"/>
    <sheet name="Src" sheetId="8" r:id="rId9"/>
    <sheet name="VarPropEta" sheetId="3" r:id="rId10"/>
  </sheets>
  <definedNames>
    <definedName name="_xlnm._FilterDatabase" localSheetId="5" hidden="1">Conserv!$A$2:$R$47</definedName>
    <definedName name="_xlnm._FilterDatabase" localSheetId="3" hidden="1">'nano-Axi'!$A$2:$W$14</definedName>
    <definedName name="_xlnm._FilterDatabase" localSheetId="2" hidden="1">'Tests-Axi'!$A$2:$X$64</definedName>
    <definedName name="_xlnm._FilterDatabase" localSheetId="1" hidden="1">'Tests-Pl'!$A$2:$X$64</definedName>
    <definedName name="_xlnm._FilterDatabase" localSheetId="9" hidden="1">VarPropEta!$A$2:$O$39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81" i="5" l="1"/>
  <c r="AO82" i="5"/>
  <c r="AO83" i="5"/>
  <c r="AO84" i="5"/>
  <c r="AO85" i="5"/>
  <c r="AO86" i="5"/>
  <c r="AO87" i="5"/>
  <c r="AO88" i="5"/>
  <c r="AO89" i="5"/>
  <c r="AO90" i="5"/>
  <c r="AO91" i="5"/>
  <c r="AO92" i="5"/>
  <c r="AO80" i="5"/>
  <c r="AY81" i="5"/>
  <c r="AY82" i="5"/>
  <c r="AY83" i="5"/>
  <c r="AY84" i="5"/>
  <c r="AY80" i="5"/>
  <c r="AT81" i="5"/>
  <c r="AT82" i="5"/>
  <c r="AT83" i="5"/>
  <c r="AT84" i="5"/>
  <c r="AT85" i="5"/>
  <c r="AT86" i="5"/>
  <c r="AT87" i="5"/>
  <c r="AT88" i="5"/>
  <c r="AT89" i="5"/>
  <c r="AT90" i="5"/>
  <c r="AT91" i="5"/>
  <c r="AT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80" i="5"/>
  <c r="AE81" i="5"/>
  <c r="AE82" i="5"/>
  <c r="AE83" i="5"/>
  <c r="AE84" i="5"/>
  <c r="AE85" i="5"/>
  <c r="AE80" i="5"/>
  <c r="X81" i="5"/>
  <c r="X82" i="5"/>
  <c r="X83" i="5"/>
  <c r="X84" i="5"/>
  <c r="X85" i="5"/>
  <c r="X86" i="5"/>
  <c r="X87" i="5"/>
  <c r="X88" i="5"/>
  <c r="X89" i="5"/>
  <c r="X90" i="5"/>
  <c r="X91" i="5"/>
  <c r="X92" i="5"/>
  <c r="X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80" i="5"/>
  <c r="D81" i="5"/>
  <c r="D82" i="5"/>
  <c r="D83" i="5"/>
  <c r="D84" i="5"/>
  <c r="D85" i="5"/>
  <c r="D86" i="5"/>
  <c r="D80" i="5"/>
  <c r="C58" i="5" l="1"/>
  <c r="C57" i="5"/>
  <c r="C56" i="5"/>
  <c r="C55" i="5"/>
  <c r="C54" i="5"/>
  <c r="C53" i="5"/>
  <c r="C52" i="5"/>
  <c r="C51" i="5"/>
  <c r="C50" i="5"/>
  <c r="C49" i="5"/>
  <c r="C45" i="5"/>
  <c r="C46" i="5"/>
  <c r="C47" i="5"/>
  <c r="C48" i="5"/>
  <c r="C44" i="5"/>
  <c r="C8" i="10" l="1"/>
  <c r="F8" i="10" s="1"/>
  <c r="F14" i="10"/>
  <c r="F13" i="10"/>
  <c r="F12" i="10"/>
  <c r="F11" i="10"/>
  <c r="F10" i="10"/>
  <c r="C12" i="10"/>
  <c r="F15" i="10" l="1"/>
  <c r="F16" i="10" s="1"/>
  <c r="C15" i="10"/>
  <c r="C16" i="10" s="1"/>
  <c r="N8" i="8"/>
  <c r="N9" i="8"/>
  <c r="N10" i="8"/>
  <c r="N11" i="8"/>
  <c r="N12" i="8"/>
  <c r="N13" i="8"/>
  <c r="N14" i="8"/>
  <c r="N15" i="8"/>
  <c r="N16" i="8"/>
  <c r="N17" i="8"/>
  <c r="N18" i="8"/>
  <c r="O18" i="8" s="1"/>
  <c r="N19" i="8"/>
  <c r="O19" i="8" s="1"/>
  <c r="N20" i="8"/>
  <c r="O20" i="8" s="1"/>
  <c r="N21" i="8"/>
  <c r="N22" i="8"/>
  <c r="N23" i="8"/>
  <c r="N24" i="8"/>
  <c r="N25" i="8"/>
  <c r="N26" i="8"/>
  <c r="N27" i="8"/>
  <c r="N28" i="8"/>
  <c r="N29" i="8"/>
  <c r="N30" i="8"/>
  <c r="O30" i="8" s="1"/>
  <c r="N31" i="8"/>
  <c r="O31" i="8" s="1"/>
  <c r="N32" i="8"/>
  <c r="O32" i="8" s="1"/>
  <c r="N33" i="8"/>
  <c r="N34" i="8"/>
  <c r="N35" i="8"/>
  <c r="N36" i="8"/>
  <c r="N37" i="8"/>
  <c r="N38" i="8"/>
  <c r="N39" i="8"/>
  <c r="N40" i="8"/>
  <c r="N41" i="8"/>
  <c r="N42" i="8"/>
  <c r="O42" i="8" s="1"/>
  <c r="N43" i="8"/>
  <c r="O43" i="8" s="1"/>
  <c r="N44" i="8"/>
  <c r="O44" i="8" s="1"/>
  <c r="N45" i="8"/>
  <c r="N46" i="8"/>
  <c r="N47" i="8"/>
  <c r="N48" i="8"/>
  <c r="N49" i="8"/>
  <c r="N50" i="8"/>
  <c r="N51" i="8"/>
  <c r="O51" i="8" s="1"/>
  <c r="N52" i="8"/>
  <c r="O52" i="8" s="1"/>
  <c r="N53" i="8"/>
  <c r="O53" i="8" s="1"/>
  <c r="N54" i="8"/>
  <c r="N55" i="8"/>
  <c r="O55" i="8" s="1"/>
  <c r="N56" i="8"/>
  <c r="O56" i="8" s="1"/>
  <c r="N57" i="8"/>
  <c r="N58" i="8"/>
  <c r="N59" i="8"/>
  <c r="N60" i="8"/>
  <c r="N61" i="8"/>
  <c r="N62" i="8"/>
  <c r="N63" i="8"/>
  <c r="N64" i="8"/>
  <c r="N65" i="8"/>
  <c r="N66" i="8"/>
  <c r="N67" i="8"/>
  <c r="O67" i="8" s="1"/>
  <c r="N68" i="8"/>
  <c r="O68" i="8" s="1"/>
  <c r="N69" i="8"/>
  <c r="N70" i="8"/>
  <c r="O70" i="8" s="1"/>
  <c r="N71" i="8"/>
  <c r="N72" i="8"/>
  <c r="O72" i="8" s="1"/>
  <c r="N73" i="8"/>
  <c r="N74" i="8"/>
  <c r="N75" i="8"/>
  <c r="N76" i="8"/>
  <c r="N77" i="8"/>
  <c r="O77" i="8" s="1"/>
  <c r="N78" i="8"/>
  <c r="O78" i="8" s="1"/>
  <c r="N79" i="8"/>
  <c r="O79" i="8" s="1"/>
  <c r="N80" i="8"/>
  <c r="O80" i="8" s="1"/>
  <c r="N81" i="8"/>
  <c r="N82" i="8"/>
  <c r="O82" i="8" s="1"/>
  <c r="N83" i="8"/>
  <c r="N84" i="8"/>
  <c r="N85" i="8"/>
  <c r="N86" i="8"/>
  <c r="N87" i="8"/>
  <c r="N88" i="8"/>
  <c r="N89" i="8"/>
  <c r="O89" i="8" s="1"/>
  <c r="N90" i="8"/>
  <c r="O90" i="8" s="1"/>
  <c r="N91" i="8"/>
  <c r="O91" i="8" s="1"/>
  <c r="N92" i="8"/>
  <c r="O92" i="8" s="1"/>
  <c r="N93" i="8"/>
  <c r="N94" i="8"/>
  <c r="N95" i="8"/>
  <c r="N96" i="8"/>
  <c r="N97" i="8"/>
  <c r="N98" i="8"/>
  <c r="N99" i="8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N106" i="8"/>
  <c r="O106" i="8" s="1"/>
  <c r="N107" i="8"/>
  <c r="O107" i="8" s="1"/>
  <c r="N108" i="8"/>
  <c r="O108" i="8" s="1"/>
  <c r="O54" i="8"/>
  <c r="O9" i="8"/>
  <c r="O27" i="8"/>
  <c r="O28" i="8"/>
  <c r="O39" i="8"/>
  <c r="O45" i="8"/>
  <c r="O58" i="8"/>
  <c r="O65" i="8"/>
  <c r="O66" i="8"/>
  <c r="O69" i="8"/>
  <c r="O75" i="8"/>
  <c r="O88" i="8"/>
  <c r="O93" i="8"/>
  <c r="O15" i="8"/>
  <c r="O22" i="8"/>
  <c r="O63" i="8"/>
  <c r="O64" i="8"/>
  <c r="O71" i="8"/>
  <c r="O99" i="8"/>
  <c r="O21" i="8"/>
  <c r="O24" i="8"/>
  <c r="O36" i="8"/>
  <c r="O48" i="8"/>
  <c r="O62" i="8"/>
  <c r="O86" i="8"/>
  <c r="O96" i="8"/>
  <c r="O105" i="8"/>
  <c r="O10" i="8"/>
  <c r="O33" i="8"/>
  <c r="O34" i="8"/>
  <c r="O46" i="8"/>
  <c r="O57" i="8"/>
  <c r="O60" i="8"/>
  <c r="O76" i="8"/>
  <c r="O81" i="8"/>
  <c r="O84" i="8"/>
  <c r="O87" i="8"/>
  <c r="O94" i="8"/>
  <c r="B8" i="8"/>
  <c r="S61" i="8"/>
  <c r="S73" i="8"/>
  <c r="S97" i="8"/>
  <c r="K60" i="8"/>
  <c r="K66" i="8"/>
  <c r="K72" i="8"/>
  <c r="K78" i="8"/>
  <c r="G13" i="8"/>
  <c r="G14" i="8"/>
  <c r="G15" i="8"/>
  <c r="G25" i="8"/>
  <c r="G26" i="8"/>
  <c r="G27" i="8"/>
  <c r="G37" i="8"/>
  <c r="G38" i="8"/>
  <c r="G39" i="8"/>
  <c r="G49" i="8"/>
  <c r="G50" i="8"/>
  <c r="G51" i="8"/>
  <c r="G61" i="8"/>
  <c r="G62" i="8"/>
  <c r="G63" i="8"/>
  <c r="G73" i="8"/>
  <c r="G74" i="8"/>
  <c r="G75" i="8"/>
  <c r="G85" i="8"/>
  <c r="G86" i="8"/>
  <c r="G87" i="8"/>
  <c r="G97" i="8"/>
  <c r="G98" i="8"/>
  <c r="G99" i="8"/>
  <c r="C8" i="8"/>
  <c r="R108" i="8"/>
  <c r="S108" i="8" s="1"/>
  <c r="R107" i="8"/>
  <c r="S107" i="8" s="1"/>
  <c r="R106" i="8"/>
  <c r="S106" i="8" s="1"/>
  <c r="R105" i="8"/>
  <c r="S105" i="8" s="1"/>
  <c r="R104" i="8"/>
  <c r="S104" i="8" s="1"/>
  <c r="R103" i="8"/>
  <c r="S103" i="8" s="1"/>
  <c r="R102" i="8"/>
  <c r="S102" i="8" s="1"/>
  <c r="R101" i="8"/>
  <c r="S101" i="8" s="1"/>
  <c r="R100" i="8"/>
  <c r="S100" i="8" s="1"/>
  <c r="R99" i="8"/>
  <c r="S99" i="8" s="1"/>
  <c r="R98" i="8"/>
  <c r="S98" i="8" s="1"/>
  <c r="R97" i="8"/>
  <c r="R96" i="8"/>
  <c r="S96" i="8" s="1"/>
  <c r="R95" i="8"/>
  <c r="S95" i="8" s="1"/>
  <c r="R94" i="8"/>
  <c r="S94" i="8" s="1"/>
  <c r="R93" i="8"/>
  <c r="S93" i="8" s="1"/>
  <c r="R92" i="8"/>
  <c r="S92" i="8" s="1"/>
  <c r="R91" i="8"/>
  <c r="S91" i="8" s="1"/>
  <c r="R90" i="8"/>
  <c r="S90" i="8" s="1"/>
  <c r="R89" i="8"/>
  <c r="S89" i="8" s="1"/>
  <c r="R88" i="8"/>
  <c r="S88" i="8" s="1"/>
  <c r="R87" i="8"/>
  <c r="S87" i="8" s="1"/>
  <c r="R86" i="8"/>
  <c r="S86" i="8" s="1"/>
  <c r="R85" i="8"/>
  <c r="S85" i="8" s="1"/>
  <c r="R84" i="8"/>
  <c r="S84" i="8" s="1"/>
  <c r="R83" i="8"/>
  <c r="S83" i="8" s="1"/>
  <c r="R82" i="8"/>
  <c r="S82" i="8" s="1"/>
  <c r="R81" i="8"/>
  <c r="S81" i="8" s="1"/>
  <c r="R80" i="8"/>
  <c r="S80" i="8" s="1"/>
  <c r="R79" i="8"/>
  <c r="S79" i="8" s="1"/>
  <c r="R78" i="8"/>
  <c r="S78" i="8" s="1"/>
  <c r="R77" i="8"/>
  <c r="S77" i="8" s="1"/>
  <c r="R76" i="8"/>
  <c r="S76" i="8" s="1"/>
  <c r="R75" i="8"/>
  <c r="S75" i="8" s="1"/>
  <c r="R74" i="8"/>
  <c r="S74" i="8" s="1"/>
  <c r="R73" i="8"/>
  <c r="R72" i="8"/>
  <c r="S72" i="8" s="1"/>
  <c r="R71" i="8"/>
  <c r="S71" i="8" s="1"/>
  <c r="R70" i="8"/>
  <c r="S70" i="8" s="1"/>
  <c r="R69" i="8"/>
  <c r="S69" i="8" s="1"/>
  <c r="R68" i="8"/>
  <c r="S68" i="8" s="1"/>
  <c r="R67" i="8"/>
  <c r="S67" i="8" s="1"/>
  <c r="R66" i="8"/>
  <c r="S66" i="8" s="1"/>
  <c r="R65" i="8"/>
  <c r="S65" i="8" s="1"/>
  <c r="R64" i="8"/>
  <c r="S64" i="8" s="1"/>
  <c r="R63" i="8"/>
  <c r="S63" i="8" s="1"/>
  <c r="R62" i="8"/>
  <c r="S62" i="8" s="1"/>
  <c r="R61" i="8"/>
  <c r="R60" i="8"/>
  <c r="S60" i="8" s="1"/>
  <c r="R59" i="8"/>
  <c r="S59" i="8" s="1"/>
  <c r="R58" i="8"/>
  <c r="S58" i="8" s="1"/>
  <c r="R57" i="8"/>
  <c r="S57" i="8" s="1"/>
  <c r="R56" i="8"/>
  <c r="S56" i="8" s="1"/>
  <c r="R55" i="8"/>
  <c r="S55" i="8" s="1"/>
  <c r="R54" i="8"/>
  <c r="S54" i="8" s="1"/>
  <c r="R53" i="8"/>
  <c r="S53" i="8" s="1"/>
  <c r="R52" i="8"/>
  <c r="S52" i="8" s="1"/>
  <c r="R51" i="8"/>
  <c r="S51" i="8" s="1"/>
  <c r="R50" i="8"/>
  <c r="S50" i="8" s="1"/>
  <c r="R49" i="8"/>
  <c r="S49" i="8" s="1"/>
  <c r="R48" i="8"/>
  <c r="S48" i="8" s="1"/>
  <c r="R47" i="8"/>
  <c r="S47" i="8" s="1"/>
  <c r="R46" i="8"/>
  <c r="S46" i="8" s="1"/>
  <c r="R45" i="8"/>
  <c r="S45" i="8" s="1"/>
  <c r="R44" i="8"/>
  <c r="S44" i="8" s="1"/>
  <c r="R43" i="8"/>
  <c r="S43" i="8" s="1"/>
  <c r="R42" i="8"/>
  <c r="S42" i="8" s="1"/>
  <c r="R41" i="8"/>
  <c r="S41" i="8" s="1"/>
  <c r="R40" i="8"/>
  <c r="S40" i="8" s="1"/>
  <c r="R39" i="8"/>
  <c r="S39" i="8" s="1"/>
  <c r="R38" i="8"/>
  <c r="S38" i="8" s="1"/>
  <c r="R37" i="8"/>
  <c r="S37" i="8" s="1"/>
  <c r="R36" i="8"/>
  <c r="S36" i="8" s="1"/>
  <c r="R35" i="8"/>
  <c r="S35" i="8" s="1"/>
  <c r="R34" i="8"/>
  <c r="S34" i="8" s="1"/>
  <c r="R33" i="8"/>
  <c r="S33" i="8" s="1"/>
  <c r="R32" i="8"/>
  <c r="S32" i="8" s="1"/>
  <c r="R31" i="8"/>
  <c r="S31" i="8" s="1"/>
  <c r="R30" i="8"/>
  <c r="S30" i="8" s="1"/>
  <c r="R29" i="8"/>
  <c r="S29" i="8" s="1"/>
  <c r="R28" i="8"/>
  <c r="S28" i="8" s="1"/>
  <c r="R27" i="8"/>
  <c r="S27" i="8" s="1"/>
  <c r="R26" i="8"/>
  <c r="S26" i="8" s="1"/>
  <c r="R25" i="8"/>
  <c r="S25" i="8" s="1"/>
  <c r="R24" i="8"/>
  <c r="S24" i="8" s="1"/>
  <c r="R23" i="8"/>
  <c r="S23" i="8" s="1"/>
  <c r="R22" i="8"/>
  <c r="S22" i="8" s="1"/>
  <c r="R21" i="8"/>
  <c r="S21" i="8" s="1"/>
  <c r="R20" i="8"/>
  <c r="S20" i="8" s="1"/>
  <c r="R19" i="8"/>
  <c r="S19" i="8" s="1"/>
  <c r="R18" i="8"/>
  <c r="S18" i="8" s="1"/>
  <c r="R17" i="8"/>
  <c r="S17" i="8" s="1"/>
  <c r="R16" i="8"/>
  <c r="S16" i="8" s="1"/>
  <c r="R15" i="8"/>
  <c r="S15" i="8" s="1"/>
  <c r="R14" i="8"/>
  <c r="S14" i="8" s="1"/>
  <c r="R13" i="8"/>
  <c r="S13" i="8" s="1"/>
  <c r="R12" i="8"/>
  <c r="S12" i="8" s="1"/>
  <c r="R11" i="8"/>
  <c r="S11" i="8" s="1"/>
  <c r="R10" i="8"/>
  <c r="S10" i="8" s="1"/>
  <c r="R9" i="8"/>
  <c r="S9" i="8" s="1"/>
  <c r="R8" i="8"/>
  <c r="S8" i="8" s="1"/>
  <c r="O98" i="8"/>
  <c r="O97" i="8"/>
  <c r="O95" i="8"/>
  <c r="O85" i="8"/>
  <c r="O83" i="8"/>
  <c r="O74" i="8"/>
  <c r="O73" i="8"/>
  <c r="O61" i="8"/>
  <c r="O59" i="8"/>
  <c r="O50" i="8"/>
  <c r="O49" i="8"/>
  <c r="O47" i="8"/>
  <c r="O41" i="8"/>
  <c r="O40" i="8"/>
  <c r="O38" i="8"/>
  <c r="O37" i="8"/>
  <c r="O35" i="8"/>
  <c r="O29" i="8"/>
  <c r="O26" i="8"/>
  <c r="O25" i="8"/>
  <c r="O23" i="8"/>
  <c r="O17" i="8"/>
  <c r="O16" i="8"/>
  <c r="O14" i="8"/>
  <c r="O13" i="8"/>
  <c r="O12" i="8"/>
  <c r="O11" i="8"/>
  <c r="O8" i="8"/>
  <c r="J108" i="8"/>
  <c r="K108" i="8" s="1"/>
  <c r="J107" i="8"/>
  <c r="K107" i="8" s="1"/>
  <c r="J106" i="8"/>
  <c r="K106" i="8" s="1"/>
  <c r="J105" i="8"/>
  <c r="K105" i="8" s="1"/>
  <c r="J104" i="8"/>
  <c r="K104" i="8" s="1"/>
  <c r="J103" i="8"/>
  <c r="K103" i="8" s="1"/>
  <c r="J102" i="8"/>
  <c r="K102" i="8" s="1"/>
  <c r="J101" i="8"/>
  <c r="K101" i="8" s="1"/>
  <c r="J100" i="8"/>
  <c r="K100" i="8" s="1"/>
  <c r="J99" i="8"/>
  <c r="K99" i="8" s="1"/>
  <c r="J98" i="8"/>
  <c r="K98" i="8" s="1"/>
  <c r="J97" i="8"/>
  <c r="K97" i="8" s="1"/>
  <c r="J96" i="8"/>
  <c r="K96" i="8" s="1"/>
  <c r="J95" i="8"/>
  <c r="K95" i="8" s="1"/>
  <c r="J94" i="8"/>
  <c r="K94" i="8" s="1"/>
  <c r="J93" i="8"/>
  <c r="K93" i="8" s="1"/>
  <c r="J92" i="8"/>
  <c r="K92" i="8" s="1"/>
  <c r="J91" i="8"/>
  <c r="K91" i="8" s="1"/>
  <c r="J90" i="8"/>
  <c r="K90" i="8" s="1"/>
  <c r="J89" i="8"/>
  <c r="K89" i="8" s="1"/>
  <c r="J88" i="8"/>
  <c r="K88" i="8" s="1"/>
  <c r="J87" i="8"/>
  <c r="K87" i="8" s="1"/>
  <c r="J86" i="8"/>
  <c r="K86" i="8" s="1"/>
  <c r="J85" i="8"/>
  <c r="K85" i="8" s="1"/>
  <c r="J84" i="8"/>
  <c r="K84" i="8" s="1"/>
  <c r="J83" i="8"/>
  <c r="K83" i="8" s="1"/>
  <c r="J82" i="8"/>
  <c r="K82" i="8" s="1"/>
  <c r="J81" i="8"/>
  <c r="K81" i="8" s="1"/>
  <c r="J80" i="8"/>
  <c r="K80" i="8" s="1"/>
  <c r="J79" i="8"/>
  <c r="K79" i="8" s="1"/>
  <c r="J78" i="8"/>
  <c r="J77" i="8"/>
  <c r="K77" i="8" s="1"/>
  <c r="J76" i="8"/>
  <c r="K76" i="8" s="1"/>
  <c r="J75" i="8"/>
  <c r="K75" i="8" s="1"/>
  <c r="J74" i="8"/>
  <c r="K74" i="8" s="1"/>
  <c r="J73" i="8"/>
  <c r="K73" i="8" s="1"/>
  <c r="J72" i="8"/>
  <c r="J71" i="8"/>
  <c r="K71" i="8" s="1"/>
  <c r="J70" i="8"/>
  <c r="K70" i="8" s="1"/>
  <c r="J69" i="8"/>
  <c r="K69" i="8" s="1"/>
  <c r="J68" i="8"/>
  <c r="K68" i="8" s="1"/>
  <c r="J67" i="8"/>
  <c r="K67" i="8" s="1"/>
  <c r="J66" i="8"/>
  <c r="J65" i="8"/>
  <c r="K65" i="8" s="1"/>
  <c r="J64" i="8"/>
  <c r="K64" i="8" s="1"/>
  <c r="J63" i="8"/>
  <c r="K63" i="8" s="1"/>
  <c r="J62" i="8"/>
  <c r="K62" i="8" s="1"/>
  <c r="J61" i="8"/>
  <c r="K61" i="8" s="1"/>
  <c r="J60" i="8"/>
  <c r="J59" i="8"/>
  <c r="K59" i="8" s="1"/>
  <c r="J58" i="8"/>
  <c r="K58" i="8" s="1"/>
  <c r="J57" i="8"/>
  <c r="K57" i="8" s="1"/>
  <c r="J56" i="8"/>
  <c r="K56" i="8" s="1"/>
  <c r="J55" i="8"/>
  <c r="K55" i="8" s="1"/>
  <c r="J54" i="8"/>
  <c r="K54" i="8" s="1"/>
  <c r="J53" i="8"/>
  <c r="K53" i="8" s="1"/>
  <c r="J52" i="8"/>
  <c r="K52" i="8" s="1"/>
  <c r="J51" i="8"/>
  <c r="K51" i="8" s="1"/>
  <c r="J50" i="8"/>
  <c r="K50" i="8" s="1"/>
  <c r="J49" i="8"/>
  <c r="K49" i="8" s="1"/>
  <c r="J48" i="8"/>
  <c r="K48" i="8" s="1"/>
  <c r="J47" i="8"/>
  <c r="K47" i="8" s="1"/>
  <c r="J46" i="8"/>
  <c r="K46" i="8" s="1"/>
  <c r="J45" i="8"/>
  <c r="K45" i="8" s="1"/>
  <c r="J44" i="8"/>
  <c r="K44" i="8" s="1"/>
  <c r="J43" i="8"/>
  <c r="K43" i="8" s="1"/>
  <c r="J42" i="8"/>
  <c r="K42" i="8" s="1"/>
  <c r="J41" i="8"/>
  <c r="K41" i="8" s="1"/>
  <c r="J40" i="8"/>
  <c r="K40" i="8" s="1"/>
  <c r="J39" i="8"/>
  <c r="K39" i="8" s="1"/>
  <c r="J38" i="8"/>
  <c r="K38" i="8" s="1"/>
  <c r="J37" i="8"/>
  <c r="K37" i="8" s="1"/>
  <c r="J36" i="8"/>
  <c r="K36" i="8" s="1"/>
  <c r="J35" i="8"/>
  <c r="K35" i="8" s="1"/>
  <c r="J34" i="8"/>
  <c r="K34" i="8" s="1"/>
  <c r="J33" i="8"/>
  <c r="K33" i="8" s="1"/>
  <c r="J32" i="8"/>
  <c r="K32" i="8" s="1"/>
  <c r="J31" i="8"/>
  <c r="K31" i="8" s="1"/>
  <c r="J30" i="8"/>
  <c r="K30" i="8" s="1"/>
  <c r="J29" i="8"/>
  <c r="K29" i="8" s="1"/>
  <c r="J28" i="8"/>
  <c r="K28" i="8" s="1"/>
  <c r="J27" i="8"/>
  <c r="K27" i="8" s="1"/>
  <c r="J26" i="8"/>
  <c r="K26" i="8" s="1"/>
  <c r="J25" i="8"/>
  <c r="K25" i="8" s="1"/>
  <c r="J24" i="8"/>
  <c r="K24" i="8" s="1"/>
  <c r="J23" i="8"/>
  <c r="K23" i="8" s="1"/>
  <c r="J22" i="8"/>
  <c r="K22" i="8" s="1"/>
  <c r="J21" i="8"/>
  <c r="K21" i="8" s="1"/>
  <c r="J20" i="8"/>
  <c r="K20" i="8" s="1"/>
  <c r="J19" i="8"/>
  <c r="K19" i="8" s="1"/>
  <c r="J18" i="8"/>
  <c r="K18" i="8" s="1"/>
  <c r="J17" i="8"/>
  <c r="K17" i="8" s="1"/>
  <c r="J16" i="8"/>
  <c r="K16" i="8" s="1"/>
  <c r="J15" i="8"/>
  <c r="K15" i="8" s="1"/>
  <c r="J14" i="8"/>
  <c r="K14" i="8" s="1"/>
  <c r="J13" i="8"/>
  <c r="K13" i="8" s="1"/>
  <c r="J12" i="8"/>
  <c r="K12" i="8" s="1"/>
  <c r="J11" i="8"/>
  <c r="K11" i="8" s="1"/>
  <c r="J10" i="8"/>
  <c r="K10" i="8" s="1"/>
  <c r="J9" i="8"/>
  <c r="K9" i="8" s="1"/>
  <c r="J8" i="8"/>
  <c r="K8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F98" i="8"/>
  <c r="F97" i="8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F86" i="8"/>
  <c r="F85" i="8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F74" i="8"/>
  <c r="F73" i="8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F62" i="8"/>
  <c r="F61" i="8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F50" i="8"/>
  <c r="F49" i="8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F38" i="8"/>
  <c r="F37" i="8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F26" i="8"/>
  <c r="F25" i="8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F14" i="8"/>
  <c r="F13" i="8"/>
  <c r="F12" i="8"/>
  <c r="G12" i="8" s="1"/>
  <c r="F11" i="8"/>
  <c r="G11" i="8" s="1"/>
  <c r="F10" i="8"/>
  <c r="G10" i="8" s="1"/>
  <c r="F9" i="8"/>
  <c r="G9" i="8" s="1"/>
  <c r="F8" i="8"/>
  <c r="G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</calcChain>
</file>

<file path=xl/sharedStrings.xml><?xml version="1.0" encoding="utf-8"?>
<sst xmlns="http://schemas.openxmlformats.org/spreadsheetml/2006/main" count="1099" uniqueCount="434">
  <si>
    <t>Folder ID</t>
  </si>
  <si>
    <t>Flux [MW/m^2]</t>
  </si>
  <si>
    <t>T_ign [K]</t>
  </si>
  <si>
    <t>Ea [kJ/mol]</t>
  </si>
  <si>
    <t>A0</t>
  </si>
  <si>
    <t>eta_ign</t>
  </si>
  <si>
    <t>n/a</t>
  </si>
  <si>
    <t>Parameters</t>
  </si>
  <si>
    <t>Results</t>
  </si>
  <si>
    <t>t_ign [ms]</t>
  </si>
  <si>
    <t>v [m/s]</t>
  </si>
  <si>
    <t>Tests-1</t>
  </si>
  <si>
    <t>Tests-2</t>
  </si>
  <si>
    <t>Tests-3</t>
  </si>
  <si>
    <t>Tests-6</t>
  </si>
  <si>
    <t>Tests-7</t>
  </si>
  <si>
    <t>Tests-8</t>
  </si>
  <si>
    <t>Tests-9</t>
  </si>
  <si>
    <t>dH-1</t>
  </si>
  <si>
    <t>dH [kJ/cm^3]</t>
  </si>
  <si>
    <t>dH-2</t>
  </si>
  <si>
    <t>Comments</t>
  </si>
  <si>
    <t>Eign-1</t>
  </si>
  <si>
    <t>Eign-2</t>
  </si>
  <si>
    <t>Eign-3</t>
  </si>
  <si>
    <t>Eign-4</t>
  </si>
  <si>
    <t>Eign-5</t>
  </si>
  <si>
    <t>Flux-1</t>
  </si>
  <si>
    <t>Flux-2</t>
  </si>
  <si>
    <t>Tign-1</t>
  </si>
  <si>
    <t>Tign-2</t>
  </si>
  <si>
    <t>Tign-3</t>
  </si>
  <si>
    <t>Tign-4</t>
  </si>
  <si>
    <t>Tign-5</t>
  </si>
  <si>
    <t>Tign-6</t>
  </si>
  <si>
    <t>Tign-7</t>
  </si>
  <si>
    <t>Max Temp [K]</t>
  </si>
  <si>
    <t>Mesh-1</t>
  </si>
  <si>
    <t>N_x</t>
  </si>
  <si>
    <t>N_y</t>
  </si>
  <si>
    <t>Reaction Zone Width (um)</t>
  </si>
  <si>
    <t>A0-1</t>
  </si>
  <si>
    <t>Div</t>
  </si>
  <si>
    <t>Material properties</t>
  </si>
  <si>
    <t>rho [kg/m^3]</t>
  </si>
  <si>
    <t>Cp [J/kg/K]</t>
  </si>
  <si>
    <t>k [W/m/K]</t>
  </si>
  <si>
    <t>dH-3</t>
  </si>
  <si>
    <t>dH-4</t>
  </si>
  <si>
    <t>dH-5</t>
  </si>
  <si>
    <t>dH-6</t>
  </si>
  <si>
    <t>Conservative formulation</t>
  </si>
  <si>
    <t>Conserv-1</t>
  </si>
  <si>
    <t>Conserv-2</t>
  </si>
  <si>
    <t>dH from Baijot 2016</t>
  </si>
  <si>
    <t>Enthalpy has units MJ/kg; From FlorinPetre 2014</t>
  </si>
  <si>
    <t>dH from Nicollet 2017</t>
  </si>
  <si>
    <t>Run time (min)</t>
  </si>
  <si>
    <t>Conserv-3</t>
  </si>
  <si>
    <t>Conserv-4</t>
  </si>
  <si>
    <t>Conserv-5</t>
  </si>
  <si>
    <t>Conserv-6</t>
  </si>
  <si>
    <t>Conserv-7</t>
  </si>
  <si>
    <t>Conserv-8</t>
  </si>
  <si>
    <t>Conserv-9</t>
  </si>
  <si>
    <t>Run time/1000 time steps (min)</t>
  </si>
  <si>
    <t>Conserv-10</t>
  </si>
  <si>
    <t>Conserv-11</t>
  </si>
  <si>
    <t>0.167 (WU)</t>
  </si>
  <si>
    <t>WW-Win10,WU-Ubuntu, L-laptop</t>
  </si>
  <si>
    <t>0.158 (WU)</t>
  </si>
  <si>
    <t>Conserv-12</t>
  </si>
  <si>
    <t>0.159 (WU)</t>
  </si>
  <si>
    <t>AlMoO3-1</t>
  </si>
  <si>
    <t>AlMoO3-2</t>
  </si>
  <si>
    <t>AlMoO3-3</t>
  </si>
  <si>
    <t>AlMoO3-4</t>
  </si>
  <si>
    <t>AlMoO3-5</t>
  </si>
  <si>
    <t>All values from from Stacy 2013; diverge at 0.032 ms because of eta</t>
  </si>
  <si>
    <t>-</t>
  </si>
  <si>
    <t>reduce k from AlMoO3-2; diverge at 0.024 ms (time step 7.9 us))</t>
  </si>
  <si>
    <t>reduce k from AlMoO3-2;</t>
  </si>
  <si>
    <t>dH,Ea from Kim 2014; Ao from Stacy 2013</t>
  </si>
  <si>
    <t>use rho_TMD instead</t>
  </si>
  <si>
    <t>dH from Kim 2014, A0 from Stacy 2013; diverge at 0.23 ms because of eta</t>
  </si>
  <si>
    <t>AlMoO3-6</t>
  </si>
  <si>
    <t>use eta ign from AlMoO3-1</t>
  </si>
  <si>
    <t>rho from Stacy 2013; rest from AlMoO3-6</t>
  </si>
  <si>
    <t>k based on mass fraction of reactants;</t>
  </si>
  <si>
    <t>AlMoO3-7</t>
  </si>
  <si>
    <t>try higher Ea;</t>
  </si>
  <si>
    <t>AlMoO3-8</t>
  </si>
  <si>
    <t>AlMoO3-9</t>
  </si>
  <si>
    <t>AlMoO3-10</t>
  </si>
  <si>
    <t>AlMoO3-11</t>
  </si>
  <si>
    <t>smaller A0 (Stacy 2013); combustion unsustainable</t>
  </si>
  <si>
    <t>dH from Kim 2014 [units of MJ/kg]; no ignition by1.22 ms, 700 K (max), 24 s^-1</t>
  </si>
  <si>
    <t>AlMoO3-12</t>
  </si>
  <si>
    <t>Higher A0 from case 8 (try and match t_ign)</t>
  </si>
  <si>
    <t>Even higher A0 from case 12</t>
  </si>
  <si>
    <t>AlMoO3-13</t>
  </si>
  <si>
    <t>AlMoO3-14</t>
  </si>
  <si>
    <t>0.15 (WU)</t>
  </si>
  <si>
    <t>Even higher A0 from case 13</t>
  </si>
  <si>
    <t>AlMoO3-15</t>
  </si>
  <si>
    <t>Based on linear changes, estimated A0 to get t_ign</t>
  </si>
  <si>
    <t>AlMoO3-16</t>
  </si>
  <si>
    <t>Conserv folder</t>
  </si>
  <si>
    <t>-AlMoO3 folder</t>
  </si>
  <si>
    <t>--Mesh folder</t>
  </si>
  <si>
    <t>8a</t>
  </si>
  <si>
    <t>11a</t>
  </si>
  <si>
    <t>8b</t>
  </si>
  <si>
    <t>AlMoO3-17</t>
  </si>
  <si>
    <t>AlMoO3-18</t>
  </si>
  <si>
    <t>9a</t>
  </si>
  <si>
    <t>1.74 (WU)</t>
  </si>
  <si>
    <t>0.64 (WU)</t>
  </si>
  <si>
    <t>AlMoO3-19</t>
  </si>
  <si>
    <t>AlMoO3-20</t>
  </si>
  <si>
    <t>--A0 folder</t>
  </si>
  <si>
    <t>Try higher A0 with mid mesh;</t>
  </si>
  <si>
    <t>Reaction Rate peak (s^-1)</t>
  </si>
  <si>
    <t>0.66 (WW)</t>
  </si>
  <si>
    <t>0.71 (WW)</t>
  </si>
  <si>
    <t>0.63 (WW)</t>
  </si>
  <si>
    <t>-AlCuO folder</t>
  </si>
  <si>
    <t>AlCuO-1</t>
  </si>
  <si>
    <t>60% porosity of rho_TMD, average Cp and k, same Ea as Kim model, pre-exp from Umbrajkar, dH from FlorinPetre/Baijot</t>
  </si>
  <si>
    <t>AlCuO-2</t>
  </si>
  <si>
    <t>0.84 (WW)</t>
  </si>
  <si>
    <t>0.85 (WW)</t>
  </si>
  <si>
    <t>0.8 (WW)</t>
  </si>
  <si>
    <t>Weird results</t>
  </si>
  <si>
    <t>0.89 (WU)</t>
  </si>
  <si>
    <t>2D Planar Conduction</t>
  </si>
  <si>
    <t>Axisymmetric</t>
  </si>
  <si>
    <t>RED-kJ/g or MJ/kg</t>
  </si>
  <si>
    <t>0.20 (WW)</t>
  </si>
  <si>
    <t>No ignition 1.6 ms, 780 K</t>
  </si>
  <si>
    <t>0.23 (WW)</t>
  </si>
  <si>
    <t>No ignition 1.6 ms, 960 K</t>
  </si>
  <si>
    <t>0.27 (WW)</t>
  </si>
  <si>
    <t>◘</t>
  </si>
  <si>
    <t>2D Planar w/ variable eta (First runs)</t>
  </si>
  <si>
    <t>dH [MJ/kg]</t>
  </si>
  <si>
    <t>RED-kJ/cm^3</t>
  </si>
  <si>
    <t>Fully compact pellet</t>
  </si>
  <si>
    <t>-Axi</t>
  </si>
  <si>
    <t>eta</t>
  </si>
  <si>
    <t>Rank 4 min</t>
  </si>
  <si>
    <t>Rank 4 max</t>
  </si>
  <si>
    <t>Rank 5 min</t>
  </si>
  <si>
    <t>Rank 5 max</t>
  </si>
  <si>
    <t>formula</t>
  </si>
  <si>
    <t>(E_kim+fl)/E_kim</t>
  </si>
  <si>
    <t>fl=cond</t>
  </si>
  <si>
    <t>fl=abs(cond)</t>
  </si>
  <si>
    <t>(E_kim+fl)/fl</t>
  </si>
  <si>
    <t>All others normalized to 1?</t>
  </si>
  <si>
    <t>Y</t>
  </si>
  <si>
    <t>N</t>
  </si>
  <si>
    <t>fl=cond+BCs</t>
  </si>
  <si>
    <t>fl=abs(cond+BCs)</t>
  </si>
  <si>
    <t>Ea</t>
  </si>
  <si>
    <t>deta</t>
  </si>
  <si>
    <t>q'''</t>
  </si>
  <si>
    <t>dH</t>
  </si>
  <si>
    <t>T=</t>
  </si>
  <si>
    <t>rho</t>
  </si>
  <si>
    <t>Q_source&gt;Q_cond testing</t>
  </si>
  <si>
    <t>Q_laser</t>
  </si>
  <si>
    <t>Q_Cond mult</t>
  </si>
  <si>
    <t>mx</t>
  </si>
  <si>
    <t>t_ign</t>
  </si>
  <si>
    <t>v_ign</t>
  </si>
  <si>
    <t>true ign?</t>
  </si>
  <si>
    <t>~0.07</t>
  </si>
  <si>
    <t>2,3,4</t>
  </si>
  <si>
    <t>12,13,14</t>
  </si>
  <si>
    <t>6,10</t>
  </si>
  <si>
    <t>Processed</t>
  </si>
  <si>
    <t>12,13</t>
  </si>
  <si>
    <t>~0.071</t>
  </si>
  <si>
    <t>?</t>
  </si>
  <si>
    <t>[New ignition criteria, burn rate down r=0]</t>
  </si>
  <si>
    <t>eta,601,998</t>
  </si>
  <si>
    <t>--heating</t>
  </si>
  <si>
    <t>Very low heating rate; capture temperature profile</t>
  </si>
  <si>
    <t>0.058 (6)</t>
  </si>
  <si>
    <t>Flux from Florin, new ignition condition</t>
  </si>
  <si>
    <t>0.038 (6)</t>
  </si>
  <si>
    <t>Lower flux</t>
  </si>
  <si>
    <t>Ign temp</t>
  </si>
  <si>
    <t>Very low flux</t>
  </si>
  <si>
    <t>mult</t>
  </si>
  <si>
    <t>num</t>
  </si>
  <si>
    <t>0.034 (6)</t>
  </si>
  <si>
    <t>Florin flux with higher k</t>
  </si>
  <si>
    <t>0.060 (6)</t>
  </si>
  <si>
    <t>Florin flux with even higher k</t>
  </si>
  <si>
    <t>Al/CuO composite;</t>
  </si>
  <si>
    <t>0.082 (6)</t>
  </si>
  <si>
    <t>CuO thermal properties;</t>
  </si>
  <si>
    <t>0.064 (6)</t>
  </si>
  <si>
    <t>--geom</t>
  </si>
  <si>
    <t>0.022 (6)</t>
  </si>
  <si>
    <t>higher flux; flip dimensions</t>
  </si>
  <si>
    <t>0.027 (6)</t>
  </si>
  <si>
    <t>0.029 (6)</t>
  </si>
  <si>
    <t>0.021 (6)</t>
  </si>
  <si>
    <t>Low flux, same effective power as 1 (BC diff); geom of 1;</t>
  </si>
  <si>
    <t>3 mm diam, 1 mm len; same CV sizes; laser spot 0.4 mm diam</t>
  </si>
  <si>
    <t>higher flux; laser spot of 0.4 mm diam;</t>
  </si>
  <si>
    <t>0.056 (6)</t>
  </si>
  <si>
    <t>3 mm x 3mm domain; laser spot 0.2mm diam; 0.1 mm will not ignite by 50 ms</t>
  </si>
  <si>
    <t>eta,600,1000</t>
  </si>
  <si>
    <t>0.073 (6)</t>
  </si>
  <si>
    <t>0.074 (6)</t>
  </si>
  <si>
    <t>Lower enthalpy; get almost Tad</t>
  </si>
  <si>
    <t>0.075 (6)</t>
  </si>
  <si>
    <t>Lower flux, still same contour creep rate</t>
  </si>
  <si>
    <t>Radiation BC only; no ign by 6 ms</t>
  </si>
  <si>
    <t>0.072 (6)</t>
  </si>
  <si>
    <t>Flux over entire north boundary; perfectly uniform wave</t>
  </si>
  <si>
    <t>0.071 (6)</t>
  </si>
  <si>
    <t>Try temperature ignition; none if 800, but good if 1000</t>
  </si>
  <si>
    <t>Original ign, h=300 on right boundary; no change in corner temp</t>
  </si>
  <si>
    <t>h=3000 on right boundary; no change in corner temp</t>
  </si>
  <si>
    <t>--AlMoO3</t>
  </si>
  <si>
    <t>--AlCuO</t>
  </si>
  <si>
    <t>Al thermal properties;</t>
  </si>
  <si>
    <t>--Al</t>
  </si>
  <si>
    <t>Flipped dimensions of 1</t>
  </si>
  <si>
    <t>--noSource</t>
  </si>
  <si>
    <t>Temperature profile evolution; to 0.5 s</t>
  </si>
  <si>
    <t>Laser heating 0.2mm from edge</t>
  </si>
  <si>
    <t>Laser heating 0.05 mm from edge</t>
  </si>
  <si>
    <t>Laser heating 0.05 mm from edge; higher flux; instabilities</t>
  </si>
  <si>
    <t>-Species</t>
  </si>
  <si>
    <t>perm</t>
  </si>
  <si>
    <t>mu</t>
  </si>
  <si>
    <t>Not true ignition</t>
  </si>
  <si>
    <t>No ignition by 0.3ms</t>
  </si>
  <si>
    <t>Heating flux on top boundary only</t>
  </si>
  <si>
    <t>0.062 (6)</t>
  </si>
  <si>
    <t>Heating flux on top and right boundaries; corner ign, instabilities</t>
  </si>
  <si>
    <t>--BCs</t>
  </si>
  <si>
    <t>--lambda</t>
  </si>
  <si>
    <t>[spatial]</t>
  </si>
  <si>
    <t>k=100 at edges, k=20 elsewhere</t>
  </si>
  <si>
    <t>k=100 on top and side; k=20 elsewhere</t>
  </si>
  <si>
    <t>k=150 on top, 80 on side, 20 elsewhere</t>
  </si>
  <si>
    <t>Stacy Folder</t>
  </si>
  <si>
    <t>alpha=1.38H^2/(pi^2*t_50)</t>
  </si>
  <si>
    <t>k=alpha*Cp*rho; 0.2 to 1</t>
  </si>
  <si>
    <t>2mm long, 2.35 mm radius, radiation BCs 0.8, 300</t>
  </si>
  <si>
    <t>Free convection:</t>
  </si>
  <si>
    <t>Vertical</t>
  </si>
  <si>
    <t>Horizontal</t>
  </si>
  <si>
    <t>g</t>
  </si>
  <si>
    <t>beta</t>
  </si>
  <si>
    <t>L</t>
  </si>
  <si>
    <t>Ts-T_inf</t>
  </si>
  <si>
    <t>nu</t>
  </si>
  <si>
    <t>alpha</t>
  </si>
  <si>
    <t>k_air</t>
  </si>
  <si>
    <t>Pr</t>
  </si>
  <si>
    <t>Ra=</t>
  </si>
  <si>
    <t>h_avg=</t>
  </si>
  <si>
    <t>Laser BC: 1 J/10ms*0.75=75 W; spot size ~5 mm diam=&gt; 3.82e6W/m^2; absorption 0.3 to 0.56</t>
  </si>
  <si>
    <t>rho: 1070 to 2500</t>
  </si>
  <si>
    <t>80% active Al=&gt; Cp=875</t>
  </si>
  <si>
    <t>alpha=0.4, rho=1500</t>
  </si>
  <si>
    <t>case 4 with k=1</t>
  </si>
  <si>
    <t>Plane Heat transfer, 300-600 K or 0 flux BCs</t>
  </si>
  <si>
    <t>Axisymmetric with uniform heat generation, 300 K outside BC</t>
  </si>
  <si>
    <t>Plane wall version of case 2</t>
  </si>
  <si>
    <t>geom-Case 2</t>
  </si>
  <si>
    <t>0.026 (6)</t>
  </si>
  <si>
    <t>Benchmarking cases</t>
  </si>
  <si>
    <t>part_diam</t>
  </si>
  <si>
    <t>Porosity=0.01</t>
  </si>
  <si>
    <t>0.038 (4)</t>
  </si>
  <si>
    <t>0,5109</t>
  </si>
  <si>
    <t>[update Nov 15/19]</t>
  </si>
  <si>
    <t>Porosity=0.4</t>
  </si>
  <si>
    <t>Time step</t>
  </si>
  <si>
    <t>Total time</t>
  </si>
  <si>
    <t>Porosity=0.9; wave at end of domain</t>
  </si>
  <si>
    <t>-Stats</t>
  </si>
  <si>
    <t>2a</t>
  </si>
  <si>
    <t>2b</t>
  </si>
  <si>
    <t>2c</t>
  </si>
  <si>
    <t>0.023 (1)</t>
  </si>
  <si>
    <t>0.013 (3)</t>
  </si>
  <si>
    <t>0.014 (4)</t>
  </si>
  <si>
    <t>2d</t>
  </si>
  <si>
    <t>0.013 (5)</t>
  </si>
  <si>
    <t>2e</t>
  </si>
  <si>
    <t>0.039 (4)</t>
  </si>
  <si>
    <t>0.012 (6)</t>
  </si>
  <si>
    <t>Case 9 with higher permeability, final time step 10^-11</t>
  </si>
  <si>
    <t>[update Nov 25/19]</t>
  </si>
  <si>
    <t>1a</t>
  </si>
  <si>
    <t>Time step size</t>
  </si>
  <si>
    <t>Case 1 with updated code, Cp=998, Cv_g=f(air,T,1000), gas_gen=0.8</t>
  </si>
  <si>
    <t>nano\40nm_gasgen\6 gas from 1D, P=0 BC; some sort of divergence half way through pellet</t>
  </si>
  <si>
    <t>--nano (from nano-Axi folder)</t>
  </si>
  <si>
    <t>--comp</t>
  </si>
  <si>
    <t>--CuO</t>
  </si>
  <si>
    <t>case 2 with larger time step</t>
  </si>
  <si>
    <t>Planar</t>
  </si>
  <si>
    <t>Species case 2 with planar geometry (need to double x direction)</t>
  </si>
  <si>
    <t>0.315 (6)</t>
  </si>
  <si>
    <t>40nm\1</t>
  </si>
  <si>
    <t>40nm\2</t>
  </si>
  <si>
    <t>40nm\3</t>
  </si>
  <si>
    <t>40nm\4</t>
  </si>
  <si>
    <t>40nm\5</t>
  </si>
  <si>
    <t>200,0.02</t>
  </si>
  <si>
    <t>Species/2 case with Geometric therm cond model, porosity=0.4</t>
  </si>
  <si>
    <t>case 3 with parallel therm cond model;</t>
  </si>
  <si>
    <t>Porosity</t>
  </si>
  <si>
    <t>Cv_s [J/kg/K]</t>
  </si>
  <si>
    <t>Cv_g [J/kg/K]</t>
  </si>
  <si>
    <t>air(1000K)</t>
  </si>
  <si>
    <t>0.143 (6)</t>
  </si>
  <si>
    <t>0.160 (6)</t>
  </si>
  <si>
    <t>60nm\1</t>
  </si>
  <si>
    <t>60nm\2</t>
  </si>
  <si>
    <t>60nm\3</t>
  </si>
  <si>
    <t>60nm\4</t>
  </si>
  <si>
    <t>60nm\5</t>
  </si>
  <si>
    <t>0.167 (6)</t>
  </si>
  <si>
    <t>0.153 (8)</t>
  </si>
  <si>
    <t>0.155 (8)</t>
  </si>
  <si>
    <t>0.159 (8)</t>
  </si>
  <si>
    <t>0.164 (8)</t>
  </si>
  <si>
    <t>1um\1</t>
  </si>
  <si>
    <t>1um\2</t>
  </si>
  <si>
    <t>1um\3</t>
  </si>
  <si>
    <t>1um\4</t>
  </si>
  <si>
    <t>1um\5</t>
  </si>
  <si>
    <t>0.163 (6)</t>
  </si>
  <si>
    <t>nano</t>
  </si>
  <si>
    <t>-base</t>
  </si>
  <si>
    <t>-lambda</t>
  </si>
  <si>
    <t>0.01,65</t>
  </si>
  <si>
    <t>0.172 (6)</t>
  </si>
  <si>
    <t>Geometric thermal cond model; ignition with slow propagation</t>
  </si>
  <si>
    <t>0.173 (6)</t>
  </si>
  <si>
    <t>-alumina</t>
  </si>
  <si>
    <t>Al2O3 (2400K)</t>
  </si>
  <si>
    <t>0.148 (6)</t>
  </si>
  <si>
    <t>-O2</t>
  </si>
  <si>
    <t>O2(T)</t>
  </si>
  <si>
    <t>Changing porosity (0.065,11.4); Const. porosity</t>
  </si>
  <si>
    <t>-Cu</t>
  </si>
  <si>
    <t>Cu(3000K)</t>
  </si>
  <si>
    <t>0.161 (6)</t>
  </si>
  <si>
    <t>40nm\5a</t>
  </si>
  <si>
    <t>Case 5 with constant porosity</t>
  </si>
  <si>
    <t>0.171 (6)</t>
  </si>
  <si>
    <t>IMPLIED: Kozeny=72, R=81.51, Cp_g based on same species for Cv, variable porosity</t>
  </si>
  <si>
    <t>0,5214</t>
  </si>
  <si>
    <t>Full enthalpy, Tad should be 3200 K</t>
  </si>
  <si>
    <t>-NiO (gas_gen=0.0063)</t>
  </si>
  <si>
    <t>eta,651,1294</t>
  </si>
  <si>
    <t>Copper; const. porosity</t>
  </si>
  <si>
    <t>Same s and g states, Cp=998, gas_gen=0.343, const porosity</t>
  </si>
  <si>
    <t>15um\5</t>
  </si>
  <si>
    <t>with stability check, possible negative densities at some times?</t>
  </si>
  <si>
    <t>nano\Axi\2 with P=0 BCs; unsure where case files went</t>
  </si>
  <si>
    <t>nano\base\40nm\5 case with dP=0 BCs on top, P=0 on others</t>
  </si>
  <si>
    <t>0.166 (6)</t>
  </si>
  <si>
    <t>nano\base\40nm\5 case with no P BC on top, P=0 on others</t>
  </si>
  <si>
    <t>nano\base\40nm\5 case with no P on top, dP=0 on all except bottom,</t>
  </si>
  <si>
    <t>1D case nano\40nm\6 with dP=0 on all boundaries, laser heating over all top; try to replicate</t>
  </si>
  <si>
    <t>0.0645 (6)</t>
  </si>
  <si>
    <t>0.066 (6)</t>
  </si>
  <si>
    <t>0.028 (6)</t>
  </si>
  <si>
    <t>Axi Heat model, Kim source, laser heating over whole top, 0 flux left/right BCs</t>
  </si>
  <si>
    <t>nano\Axi graphs</t>
  </si>
  <si>
    <t>d_c</t>
  </si>
  <si>
    <t>phi</t>
  </si>
  <si>
    <t>v_cw</t>
  </si>
  <si>
    <t>40nm</t>
  </si>
  <si>
    <t>%TMD</t>
  </si>
  <si>
    <t>60nm</t>
  </si>
  <si>
    <t>1um</t>
  </si>
  <si>
    <t>Conserv folder graphs (really old)</t>
  </si>
  <si>
    <t>--1D</t>
  </si>
  <si>
    <t>1D case nano\40nm\3 with dP=0 on all boundaries, laser over whole top</t>
  </si>
  <si>
    <t>Experimental points</t>
  </si>
  <si>
    <t>Reference</t>
  </si>
  <si>
    <t>Saceleanu2018</t>
  </si>
  <si>
    <t>ER</t>
  </si>
  <si>
    <t>Notes</t>
  </si>
  <si>
    <t>Weismiller2009</t>
  </si>
  <si>
    <t>FlorinPetre2014</t>
  </si>
  <si>
    <t>Dean2010</t>
  </si>
  <si>
    <t>1b</t>
  </si>
  <si>
    <t>Case 1 with planar geometry</t>
  </si>
  <si>
    <t>Case 1 with larger r dimension; no ignition</t>
  </si>
  <si>
    <t>avg</t>
  </si>
  <si>
    <t>Peak v [m/s]</t>
  </si>
  <si>
    <t>Need to re-run from ign to get better v</t>
  </si>
  <si>
    <t>0.149 (6)</t>
  </si>
  <si>
    <t>Peak at end</t>
  </si>
  <si>
    <t>0.155 (6)</t>
  </si>
  <si>
    <t>Peak when wave hits corner and turns down</t>
  </si>
  <si>
    <t>Peak when wave hits corner, velocities and rho_g have instabilities</t>
  </si>
  <si>
    <t>Peak after wave hits corner, couldn't see instabilities</t>
  </si>
  <si>
    <t>0.157 (6)</t>
  </si>
  <si>
    <t>0.162 (6)</t>
  </si>
  <si>
    <t>0.153 (6)</t>
  </si>
  <si>
    <t>wave half through; little rho_g movement</t>
  </si>
  <si>
    <t>little rho_g movement</t>
  </si>
  <si>
    <t>0.150 (6)</t>
  </si>
  <si>
    <t>0.152 (6)</t>
  </si>
  <si>
    <t>wave overshot, rho_g movement/pressure contours, strange flame front</t>
  </si>
  <si>
    <t>wave overshot, rho_g movement/pressure contours, flame front level</t>
  </si>
  <si>
    <t>avg v</t>
  </si>
  <si>
    <t>peak v</t>
  </si>
  <si>
    <t>[outdated]</t>
  </si>
  <si>
    <t>1.5um</t>
  </si>
  <si>
    <t>argon</t>
  </si>
  <si>
    <t>Burn rates as function of time</t>
  </si>
  <si>
    <t>v_inst</t>
  </si>
  <si>
    <t>v_avg</t>
  </si>
  <si>
    <t>t [ms]</t>
  </si>
  <si>
    <t>v_inst [m/s]</t>
  </si>
  <si>
    <t>t 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</si>
</sst>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/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Fill="1" applyBorder="1"/>
    <xf numFmtId="0" fontId="0" fillId="2" borderId="1" xfId="0" applyFill="1" applyBorder="1"/>
    <xf numFmtId="0" fontId="0" fillId="0" borderId="0" xfId="0" applyBorder="1"/>
    <xf numFmtId="11" fontId="0" fillId="0" borderId="0" xfId="0" applyNumberFormat="1" applyBorder="1"/>
    <xf numFmtId="0" fontId="0" fillId="3" borderId="1" xfId="0" applyFill="1" applyBorder="1"/>
    <xf numFmtId="0" fontId="0" fillId="3" borderId="0" xfId="0" applyFill="1" applyBorder="1"/>
    <xf numFmtId="0" fontId="0" fillId="3" borderId="0" xfId="0" applyFill="1"/>
    <xf numFmtId="11" fontId="0" fillId="3" borderId="0" xfId="0" applyNumberFormat="1" applyFill="1"/>
    <xf numFmtId="0" fontId="1" fillId="2" borderId="1" xfId="0" applyFont="1" applyFill="1" applyBorder="1"/>
    <xf numFmtId="0" fontId="1" fillId="0" borderId="1" xfId="0" applyFont="1" applyFill="1" applyBorder="1"/>
    <xf numFmtId="0" fontId="0" fillId="0" borderId="1" xfId="0" quotePrefix="1" applyFill="1" applyBorder="1"/>
    <xf numFmtId="0" fontId="0" fillId="0" borderId="1" xfId="0" quotePrefix="1" applyBorder="1"/>
    <xf numFmtId="0" fontId="0" fillId="3" borderId="0" xfId="0" applyFill="1" applyAlignment="1">
      <alignment horizontal="right"/>
    </xf>
    <xf numFmtId="0" fontId="1" fillId="3" borderId="1" xfId="0" applyFont="1" applyFill="1" applyBorder="1"/>
    <xf numFmtId="0" fontId="2" fillId="0" borderId="1" xfId="0" applyFont="1" applyBorder="1"/>
    <xf numFmtId="0" fontId="0" fillId="0" borderId="0" xfId="0" applyFill="1"/>
    <xf numFmtId="0" fontId="0" fillId="0" borderId="0" xfId="0" applyFill="1" applyAlignment="1">
      <alignment horizontal="right"/>
    </xf>
    <xf numFmtId="11" fontId="0" fillId="0" borderId="0" xfId="0" applyNumberFormat="1" applyFill="1" applyBorder="1"/>
    <xf numFmtId="0" fontId="0" fillId="0" borderId="0" xfId="0" applyFill="1" applyAlignment="1">
      <alignment horizontal="left"/>
    </xf>
    <xf numFmtId="11" fontId="0" fillId="0" borderId="0" xfId="0" applyNumberFormat="1" applyFill="1"/>
    <xf numFmtId="0" fontId="3" fillId="0" borderId="1" xfId="0" applyFont="1" applyBorder="1"/>
    <xf numFmtId="0" fontId="0" fillId="0" borderId="0" xfId="0" quotePrefix="1"/>
    <xf numFmtId="0" fontId="0" fillId="0" borderId="0" xfId="0" applyNumberFormat="1"/>
    <xf numFmtId="0" fontId="4" fillId="0" borderId="0" xfId="0" applyFont="1"/>
    <xf numFmtId="11" fontId="0" fillId="0" borderId="0" xfId="0" applyNumberFormat="1" applyFill="1" applyAlignment="1">
      <alignment horizontal="right"/>
    </xf>
    <xf numFmtId="11" fontId="0" fillId="2" borderId="0" xfId="0" applyNumberFormat="1" applyFill="1"/>
    <xf numFmtId="0" fontId="0" fillId="4" borderId="0" xfId="0" applyFill="1"/>
    <xf numFmtId="0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NumberFormat="1" applyFill="1"/>
    <xf numFmtId="0" fontId="0" fillId="0" borderId="1" xfId="0" applyFill="1" applyBorder="1" applyAlignment="1">
      <alignment horizontal="right"/>
    </xf>
    <xf numFmtId="0" fontId="1" fillId="0" borderId="1" xfId="0" quotePrefix="1" applyFont="1" applyFill="1" applyBorder="1"/>
    <xf numFmtId="0" fontId="1" fillId="0" borderId="0" xfId="0" applyFont="1" applyFill="1"/>
    <xf numFmtId="0" fontId="1" fillId="0" borderId="0" xfId="0" quotePrefix="1" applyFont="1" applyFill="1"/>
    <xf numFmtId="0" fontId="1" fillId="0" borderId="0" xfId="0" applyFont="1" applyFill="1" applyAlignment="1">
      <alignment horizontal="right"/>
    </xf>
    <xf numFmtId="11" fontId="1" fillId="0" borderId="0" xfId="0" applyNumberFormat="1" applyFont="1" applyFill="1" applyBorder="1"/>
    <xf numFmtId="11" fontId="1" fillId="0" borderId="0" xfId="0" applyNumberFormat="1" applyFont="1" applyFill="1"/>
    <xf numFmtId="0" fontId="1" fillId="0" borderId="0" xfId="0" applyFont="1" applyFill="1" applyAlignment="1">
      <alignment horizontal="left"/>
    </xf>
    <xf numFmtId="11" fontId="1" fillId="0" borderId="1" xfId="0" applyNumberFormat="1" applyFont="1" applyFill="1" applyBorder="1"/>
    <xf numFmtId="0" fontId="1" fillId="0" borderId="0" xfId="0" applyNumberFormat="1" applyFont="1" applyFill="1" applyBorder="1"/>
    <xf numFmtId="0" fontId="1" fillId="0" borderId="0" xfId="0" applyFont="1" applyFill="1" applyBorder="1" applyAlignment="1">
      <alignment horizontal="right"/>
    </xf>
    <xf numFmtId="11" fontId="1" fillId="0" borderId="0" xfId="0" applyNumberFormat="1" applyFont="1" applyFill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quotePrefix="1" applyFill="1" applyBorder="1" applyAlignment="1">
      <alignment horizontal="right"/>
    </xf>
    <xf numFmtId="0" fontId="5" fillId="0" borderId="0" xfId="0" applyFont="1"/>
    <xf numFmtId="0" fontId="0" fillId="3" borderId="0" xfId="0" applyNumberFormat="1" applyFill="1" applyBorder="1"/>
    <xf numFmtId="2" fontId="0" fillId="3" borderId="0" xfId="0" applyNumberFormat="1" applyFill="1" applyBorder="1"/>
    <xf numFmtId="0" fontId="0" fillId="0" borderId="2" xfId="0" applyNumberForma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</a:t>
            </a:r>
            <a:r>
              <a:rPr lang="en-US" baseline="0"/>
              <a:t> rate vs Porosity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40nm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'nano-Axi'!$M$5:$M$9</c:f>
              <c:numCache>
                <c:formatCode>General</c:formatCode>
                <c:ptCount val="5"/>
                <c:pt idx="0">
                  <c:v>0.01</c:v>
                </c:pt>
                <c:pt idx="1">
                  <c:v>0.1</c:v>
                </c:pt>
                <c:pt idx="2">
                  <c:v>0.5</c:v>
                </c:pt>
                <c:pt idx="3">
                  <c:v>0.75</c:v>
                </c:pt>
                <c:pt idx="4">
                  <c:v>0.9</c:v>
                </c:pt>
              </c:numCache>
            </c:numRef>
          </c:xVal>
          <c:yVal>
            <c:numRef>
              <c:f>'nano-Axi'!$T$5:$T$9</c:f>
              <c:numCache>
                <c:formatCode>General</c:formatCode>
                <c:ptCount val="5"/>
                <c:pt idx="0">
                  <c:v>2.88</c:v>
                </c:pt>
                <c:pt idx="1">
                  <c:v>3.57</c:v>
                </c:pt>
                <c:pt idx="2">
                  <c:v>8.94</c:v>
                </c:pt>
                <c:pt idx="3">
                  <c:v>15.83</c:v>
                </c:pt>
                <c:pt idx="4">
                  <c:v>24.76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42-4C8F-90A3-861BB02EBE00}"/>
            </c:ext>
          </c:extLst>
        </c:ser>
        <c:ser>
          <c:idx val="1"/>
          <c:order val="1"/>
          <c:tx>
            <c:v>60nm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'nano-Axi'!$M$11:$M$15</c:f>
              <c:numCache>
                <c:formatCode>General</c:formatCode>
                <c:ptCount val="5"/>
                <c:pt idx="0">
                  <c:v>0.01</c:v>
                </c:pt>
                <c:pt idx="1">
                  <c:v>0.1</c:v>
                </c:pt>
                <c:pt idx="2">
                  <c:v>0.5</c:v>
                </c:pt>
                <c:pt idx="3">
                  <c:v>0.75</c:v>
                </c:pt>
                <c:pt idx="4">
                  <c:v>0.9</c:v>
                </c:pt>
              </c:numCache>
              <c:extLst xmlns:c15="http://schemas.microsoft.com/office/drawing/2012/chart"/>
            </c:numRef>
          </c:xVal>
          <c:yVal>
            <c:numRef>
              <c:f>'nano-Axi'!$T$11:$T$15</c:f>
              <c:numCache>
                <c:formatCode>General</c:formatCode>
                <c:ptCount val="5"/>
                <c:pt idx="0">
                  <c:v>2.67</c:v>
                </c:pt>
                <c:pt idx="1">
                  <c:v>3.24</c:v>
                </c:pt>
                <c:pt idx="2">
                  <c:v>6.69</c:v>
                </c:pt>
                <c:pt idx="3">
                  <c:v>9.3699999999999992</c:v>
                </c:pt>
                <c:pt idx="4">
                  <c:v>13.78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C42-4C8F-90A3-861BB02EBE00}"/>
            </c:ext>
          </c:extLst>
        </c:ser>
        <c:ser>
          <c:idx val="2"/>
          <c:order val="2"/>
          <c:tx>
            <c:v>1um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'nano-Axi'!$M$17:$M$21</c:f>
              <c:numCache>
                <c:formatCode>General</c:formatCode>
                <c:ptCount val="5"/>
                <c:pt idx="0">
                  <c:v>0.01</c:v>
                </c:pt>
                <c:pt idx="1">
                  <c:v>0.1</c:v>
                </c:pt>
                <c:pt idx="2">
                  <c:v>0.5</c:v>
                </c:pt>
                <c:pt idx="3">
                  <c:v>0.75</c:v>
                </c:pt>
                <c:pt idx="4">
                  <c:v>0.9</c:v>
                </c:pt>
              </c:numCache>
              <c:extLst xmlns:c15="http://schemas.microsoft.com/office/drawing/2012/chart"/>
            </c:numRef>
          </c:xVal>
          <c:yVal>
            <c:numRef>
              <c:f>'nano-Axi'!$T$17:$T$21</c:f>
              <c:numCache>
                <c:formatCode>General</c:formatCode>
                <c:ptCount val="5"/>
                <c:pt idx="0">
                  <c:v>11.56</c:v>
                </c:pt>
                <c:pt idx="1">
                  <c:v>7.17</c:v>
                </c:pt>
                <c:pt idx="2">
                  <c:v>22.63</c:v>
                </c:pt>
                <c:pt idx="3">
                  <c:v>26.65</c:v>
                </c:pt>
                <c:pt idx="4">
                  <c:v>80.36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C42-4C8F-90A3-861BB02EB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36840"/>
        <c:axId val="488937496"/>
        <c:extLst/>
      </c:scatterChart>
      <c:valAx>
        <c:axId val="48893684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Porosity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7496"/>
        <c:crosses val="autoZero"/>
        <c:crossBetween val="midCat"/>
      </c:valAx>
      <c:valAx>
        <c:axId val="48893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Burn rate [m/s]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6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Ignition delay</a:t>
            </a:r>
            <a:r>
              <a:rPr lang="en-US" baseline="0"/>
              <a:t> vs Porosity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40nm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'nano-Axi'!$M$5:$M$9</c:f>
              <c:numCache>
                <c:formatCode>General</c:formatCode>
                <c:ptCount val="5"/>
                <c:pt idx="0">
                  <c:v>0.01</c:v>
                </c:pt>
                <c:pt idx="1">
                  <c:v>0.1</c:v>
                </c:pt>
                <c:pt idx="2">
                  <c:v>0.5</c:v>
                </c:pt>
                <c:pt idx="3">
                  <c:v>0.75</c:v>
                </c:pt>
                <c:pt idx="4">
                  <c:v>0.9</c:v>
                </c:pt>
              </c:numCache>
            </c:numRef>
          </c:xVal>
          <c:yVal>
            <c:numRef>
              <c:f>'nano-Axi'!$S$5:$S$9</c:f>
              <c:numCache>
                <c:formatCode>General</c:formatCode>
                <c:ptCount val="5"/>
                <c:pt idx="0">
                  <c:v>0.51</c:v>
                </c:pt>
                <c:pt idx="1">
                  <c:v>0.27600000000000002</c:v>
                </c:pt>
                <c:pt idx="2">
                  <c:v>0.19</c:v>
                </c:pt>
                <c:pt idx="3">
                  <c:v>9.9299999999999999E-2</c:v>
                </c:pt>
                <c:pt idx="4">
                  <c:v>6.6199999999999995E-2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E-4CB1-8C3D-BC55F5B42109}"/>
            </c:ext>
          </c:extLst>
        </c:ser>
        <c:ser>
          <c:idx val="1"/>
          <c:order val="1"/>
          <c:tx>
            <c:v>60nm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'nano-Axi'!$M$11:$M$15</c:f>
              <c:numCache>
                <c:formatCode>General</c:formatCode>
                <c:ptCount val="5"/>
                <c:pt idx="0">
                  <c:v>0.01</c:v>
                </c:pt>
                <c:pt idx="1">
                  <c:v>0.1</c:v>
                </c:pt>
                <c:pt idx="2">
                  <c:v>0.5</c:v>
                </c:pt>
                <c:pt idx="3">
                  <c:v>0.75</c:v>
                </c:pt>
                <c:pt idx="4">
                  <c:v>0.9</c:v>
                </c:pt>
              </c:numCache>
              <c:extLst xmlns:c15="http://schemas.microsoft.com/office/drawing/2012/chart"/>
            </c:numRef>
          </c:xVal>
          <c:yVal>
            <c:numRef>
              <c:f>'nano-Axi'!$S$11:$S$15</c:f>
              <c:numCache>
                <c:formatCode>General</c:formatCode>
                <c:ptCount val="5"/>
                <c:pt idx="0">
                  <c:v>0.64600000000000002</c:v>
                </c:pt>
                <c:pt idx="1">
                  <c:v>0.28699999999999998</c:v>
                </c:pt>
                <c:pt idx="2">
                  <c:v>0.188</c:v>
                </c:pt>
                <c:pt idx="3">
                  <c:v>0.10100000000000001</c:v>
                </c:pt>
                <c:pt idx="4">
                  <c:v>6.6000000000000003E-2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9AE-4CB1-8C3D-BC55F5B42109}"/>
            </c:ext>
          </c:extLst>
        </c:ser>
        <c:ser>
          <c:idx val="2"/>
          <c:order val="2"/>
          <c:tx>
            <c:v>1um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'nano-Axi'!$M$17:$M$21</c:f>
              <c:numCache>
                <c:formatCode>General</c:formatCode>
                <c:ptCount val="5"/>
                <c:pt idx="0">
                  <c:v>0.01</c:v>
                </c:pt>
                <c:pt idx="1">
                  <c:v>0.1</c:v>
                </c:pt>
                <c:pt idx="2">
                  <c:v>0.5</c:v>
                </c:pt>
                <c:pt idx="3">
                  <c:v>0.75</c:v>
                </c:pt>
                <c:pt idx="4">
                  <c:v>0.9</c:v>
                </c:pt>
              </c:numCache>
              <c:extLst xmlns:c15="http://schemas.microsoft.com/office/drawing/2012/chart"/>
            </c:numRef>
          </c:xVal>
          <c:yVal>
            <c:numRef>
              <c:f>'nano-Axi'!$S$17:$S$21</c:f>
              <c:numCache>
                <c:formatCode>General</c:formatCode>
                <c:ptCount val="5"/>
                <c:pt idx="0">
                  <c:v>0.29199999999999998</c:v>
                </c:pt>
                <c:pt idx="1">
                  <c:v>0.22</c:v>
                </c:pt>
                <c:pt idx="2">
                  <c:v>0.14899999999999999</c:v>
                </c:pt>
                <c:pt idx="3">
                  <c:v>9.9000000000000005E-2</c:v>
                </c:pt>
                <c:pt idx="4">
                  <c:v>6.5000000000000002E-2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9AE-4CB1-8C3D-BC55F5B42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36840"/>
        <c:axId val="488937496"/>
        <c:extLst/>
      </c:scatterChart>
      <c:valAx>
        <c:axId val="48893684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Porosity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7496"/>
        <c:crosses val="autoZero"/>
        <c:crossBetween val="midCat"/>
      </c:valAx>
      <c:valAx>
        <c:axId val="48893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6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Thermal conductivity</a:t>
            </a:r>
            <a:r>
              <a:rPr lang="en-US"/>
              <a:t>; Ea=48, Cp=625, rho=1523;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(Conserv!$N$13,Conserv!$N$18,Conserv!$N$26)</c:f>
              <c:numCache>
                <c:formatCode>General</c:formatCode>
                <c:ptCount val="3"/>
                <c:pt idx="0">
                  <c:v>19.3</c:v>
                </c:pt>
                <c:pt idx="1">
                  <c:v>14.2</c:v>
                </c:pt>
                <c:pt idx="2">
                  <c:v>13.2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0-E87D-41B9-9490-92BB1BC962EC}"/>
            </c:ext>
          </c:extLst>
        </c:ser>
        <c:ser>
          <c:idx val="1"/>
          <c:order val="1"/>
          <c:tx>
            <c:v>ignition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(Conserv!$M$13,Conserv!$M$18,Conserv!$M$26)</c:f>
              <c:numCache>
                <c:formatCode>General</c:formatCode>
                <c:ptCount val="3"/>
                <c:pt idx="0">
                  <c:v>0.48</c:v>
                </c:pt>
                <c:pt idx="1">
                  <c:v>0.18</c:v>
                </c:pt>
                <c:pt idx="2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87D-41B9-9490-92BB1BC9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Density</a:t>
            </a:r>
            <a:r>
              <a:rPr lang="en-US"/>
              <a:t>;</a:t>
            </a:r>
            <a:r>
              <a:rPr lang="en-US" baseline="0"/>
              <a:t> </a:t>
            </a:r>
            <a:r>
              <a:rPr lang="en-US"/>
              <a:t>Ea=48, Cp=625;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rho-156k_ign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</c:numRef>
          </c:xVal>
          <c:yVal>
            <c:numRef>
              <c:f>Conserv!$M$13:$M$14</c:f>
              <c:numCache>
                <c:formatCode>General</c:formatCode>
                <c:ptCount val="2"/>
                <c:pt idx="0">
                  <c:v>0.48</c:v>
                </c:pt>
                <c:pt idx="1">
                  <c:v>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E-4819-8226-F1CAF93C42FB}"/>
            </c:ext>
          </c:extLst>
        </c:ser>
        <c:ser>
          <c:idx val="3"/>
          <c:order val="1"/>
          <c:tx>
            <c:v>rho-78k_ign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</c:numRef>
          </c:xVal>
          <c:yVal>
            <c:numRef>
              <c:f>Conserv!$M$21:$M$22</c:f>
              <c:numCache>
                <c:formatCode>General</c:formatCode>
                <c:ptCount val="2"/>
                <c:pt idx="0">
                  <c:v>0.18</c:v>
                </c:pt>
                <c:pt idx="1">
                  <c:v>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CE-4819-8226-F1CAF93C42FB}"/>
            </c:ext>
          </c:extLst>
        </c:ser>
        <c:ser>
          <c:idx val="4"/>
          <c:order val="2"/>
          <c:tx>
            <c:v>rho-156k_v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  <c:extLst xmlns:c15="http://schemas.microsoft.com/office/drawing/2012/chart"/>
            </c:numRef>
          </c:xVal>
          <c:yVal>
            <c:numRef>
              <c:f>Conserv!$N$13:$N$14</c:f>
              <c:numCache>
                <c:formatCode>General</c:formatCode>
                <c:ptCount val="2"/>
                <c:pt idx="0">
                  <c:v>19.3</c:v>
                </c:pt>
                <c:pt idx="1">
                  <c:v>12.7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1CE-4819-8226-F1CAF93C42FB}"/>
            </c:ext>
          </c:extLst>
        </c:ser>
        <c:ser>
          <c:idx val="5"/>
          <c:order val="3"/>
          <c:tx>
            <c:v>rho-78k_v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  <c:extLst xmlns:c15="http://schemas.microsoft.com/office/drawing/2012/chart"/>
            </c:numRef>
          </c:xVal>
          <c:yVal>
            <c:numRef>
              <c:f>Conserv!$N$21:$N$22</c:f>
              <c:numCache>
                <c:formatCode>General</c:formatCode>
                <c:ptCount val="2"/>
                <c:pt idx="0">
                  <c:v>14.7</c:v>
                </c:pt>
                <c:pt idx="1">
                  <c:v>12.5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CE-4819-8226-F1CAF93C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Pre-exponential</a:t>
            </a:r>
            <a:r>
              <a:rPr lang="en-US" baseline="0"/>
              <a:t> factor; Ea=70, rho=1523,Cp=625,k=65,dH=4.7; coarse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ignition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(Conserv!$K$25,Conserv!$K$38,Conserv!$K$39,Conserv!$K$40,Conserv!$K$41)</c:f>
              <c:numCache>
                <c:formatCode>0.00E+00</c:formatCode>
                <c:ptCount val="5"/>
                <c:pt idx="0">
                  <c:v>4890000</c:v>
                </c:pt>
                <c:pt idx="1">
                  <c:v>5000000</c:v>
                </c:pt>
                <c:pt idx="2">
                  <c:v>5500000</c:v>
                </c:pt>
                <c:pt idx="3">
                  <c:v>6000000</c:v>
                </c:pt>
                <c:pt idx="4">
                  <c:v>8000000</c:v>
                </c:pt>
              </c:numCache>
            </c:numRef>
          </c:xVal>
          <c:yVal>
            <c:numRef>
              <c:f>(Conserv!$M$25,Conserv!$M$38,Conserv!$M$39,Conserv!$M$40,Conserv!$M$41)</c:f>
              <c:numCache>
                <c:formatCode>General</c:formatCode>
                <c:ptCount val="5"/>
                <c:pt idx="0">
                  <c:v>0.62</c:v>
                </c:pt>
                <c:pt idx="1">
                  <c:v>0.61</c:v>
                </c:pt>
                <c:pt idx="2">
                  <c:v>0.59</c:v>
                </c:pt>
                <c:pt idx="3">
                  <c:v>0.56999999999999995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EF2-9BD9-8A7C5EB7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3048"/>
        <c:axId val="420781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wave speed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(Conserv!$K$25,Conserv!$K$38,Conserv!$K$39,Conserv!$K$40,Conserv!$K$41)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4890000</c:v>
                      </c:pt>
                      <c:pt idx="1">
                        <c:v>5000000</c:v>
                      </c:pt>
                      <c:pt idx="2">
                        <c:v>5500000</c:v>
                      </c:pt>
                      <c:pt idx="3">
                        <c:v>6000000</c:v>
                      </c:pt>
                      <c:pt idx="4">
                        <c:v>8000000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(Conserv!$N$25,Conserv!$N$38,Conserv!$N$39,Conserv!$N$40,Conserv!$N$41)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9.6</c:v>
                      </c:pt>
                      <c:pt idx="1">
                        <c:v>9.6</c:v>
                      </c:pt>
                      <c:pt idx="2">
                        <c:v>10.1</c:v>
                      </c:pt>
                      <c:pt idx="3">
                        <c:v>10.4</c:v>
                      </c:pt>
                      <c:pt idx="4">
                        <c:v>11.7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6E8-4EF2-9BD9-8A7C5EB7CBE0}"/>
                  </c:ext>
                </c:extLst>
              </c15:ser>
            </c15:filteredScatterSeries>
          </c:ext>
        </c:extLst>
      </c:scatterChart>
      <c:valAx>
        <c:axId val="42078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1080"/>
        <c:crosses val="autoZero"/>
        <c:crossBetween val="midCat"/>
      </c:valAx>
      <c:valAx>
        <c:axId val="4207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(Conserv!$N$35,Conserv!$N$32,Conserv!$N$25,Conserv!$N$33)</c:f>
              <c:numCache>
                <c:formatCode>General</c:formatCode>
                <c:ptCount val="4"/>
                <c:pt idx="0">
                  <c:v>7.2</c:v>
                </c:pt>
                <c:pt idx="1">
                  <c:v>8.1999999999999993</c:v>
                </c:pt>
                <c:pt idx="2">
                  <c:v>9.6</c:v>
                </c:pt>
                <c:pt idx="3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2E-4D86-BDD8-1D7FDAE15969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(Conserv!$N$29,Conserv!$N$28,Conserv!$N$26,Conserv!$N$30)</c:f>
              <c:numCache>
                <c:formatCode>General</c:formatCode>
                <c:ptCount val="4"/>
                <c:pt idx="0">
                  <c:v>10.6</c:v>
                </c:pt>
                <c:pt idx="1">
                  <c:v>11.8</c:v>
                </c:pt>
                <c:pt idx="2">
                  <c:v>13.2</c:v>
                </c:pt>
                <c:pt idx="3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1-4842-8959-D58DAF73349A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('Tests-Axi'!$T$16,'Tests-Axi'!$T$17,'Tests-Axi'!$T$12,'Tests-Axi'!$T$18)</c:f>
              <c:numCache>
                <c:formatCode>General</c:formatCode>
                <c:ptCount val="4"/>
                <c:pt idx="0">
                  <c:v>10.7</c:v>
                </c:pt>
                <c:pt idx="1">
                  <c:v>12</c:v>
                </c:pt>
                <c:pt idx="2">
                  <c:v>13.5</c:v>
                </c:pt>
                <c:pt idx="3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A-468B-842B-D504A447A73F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AA-468B-842B-D504A447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Enthalpy of Combustion (kJ/g)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Wave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</a:t>
            </a:r>
            <a:r>
              <a:rPr lang="en-US" b="1" baseline="0"/>
              <a:t> vs. </a:t>
            </a:r>
            <a:r>
              <a:rPr lang="en-US" b="1"/>
              <a:t>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  <c:extLst xmlns:c15="http://schemas.microsoft.com/office/drawing/2012/chart"/>
            </c:numRef>
          </c:xVal>
          <c:yVal>
            <c:numRef>
              <c:f>(Conserv!$N$25,Conserv!$N$19,Conserv!$N$34,Conserv!$N$31)</c:f>
              <c:numCache>
                <c:formatCode>General</c:formatCode>
                <c:ptCount val="4"/>
                <c:pt idx="0">
                  <c:v>9.6</c:v>
                </c:pt>
                <c:pt idx="1">
                  <c:v>10.6</c:v>
                </c:pt>
                <c:pt idx="2">
                  <c:v>12</c:v>
                </c:pt>
                <c:pt idx="3">
                  <c:v>15.3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6D2-4261-899A-D6BFBD62767B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(Conserv!$N$26,Conserv!$N$21,Conserv!$N$27,Conserv!$N$13)</c:f>
              <c:numCache>
                <c:formatCode>General</c:formatCode>
                <c:ptCount val="4"/>
                <c:pt idx="0">
                  <c:v>13.2</c:v>
                </c:pt>
                <c:pt idx="1">
                  <c:v>14.7</c:v>
                </c:pt>
                <c:pt idx="2">
                  <c:v>16.7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6-448C-8745-E89CBB219AE3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('Tests-Axi'!$T$12,'Tests-Axi'!$T$13,'Tests-Axi'!$T$14,'Tests-Axi'!$T$15)</c:f>
              <c:numCache>
                <c:formatCode>General</c:formatCode>
                <c:ptCount val="4"/>
                <c:pt idx="0">
                  <c:v>13.5</c:v>
                </c:pt>
                <c:pt idx="1">
                  <c:v>15.1</c:v>
                </c:pt>
                <c:pt idx="2">
                  <c:v>17.2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227-A114-FB42154A396A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227-A114-FB42154A3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(Conserv!$M$29,Conserv!$M$28,Conserv!$M$26,Conserv!$M$30)</c:f>
              <c:numCache>
                <c:formatCode>General</c:formatCode>
                <c:ptCount val="4"/>
                <c:pt idx="0">
                  <c:v>0.18</c:v>
                </c:pt>
                <c:pt idx="1">
                  <c:v>0.17</c:v>
                </c:pt>
                <c:pt idx="2">
                  <c:v>0.15</c:v>
                </c:pt>
                <c:pt idx="3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CB-4A6A-A5CE-C61B545B5F83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(Conserv!$M$35,Conserv!$M$32,Conserv!$M$25,Conserv!$M$33)</c:f>
              <c:numCache>
                <c:formatCode>General</c:formatCode>
                <c:ptCount val="4"/>
                <c:pt idx="0">
                  <c:v>0.71</c:v>
                </c:pt>
                <c:pt idx="1">
                  <c:v>0.67</c:v>
                </c:pt>
                <c:pt idx="2">
                  <c:v>0.62</c:v>
                </c:pt>
                <c:pt idx="3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736-B4DC-5312311E1CB9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('Tests-Axi'!$S$16,'Tests-Axi'!$S$17,'Tests-Axi'!$S$12,'Tests-Axi'!$S$18)</c:f>
              <c:numCache>
                <c:formatCode>General</c:formatCode>
                <c:ptCount val="4"/>
                <c:pt idx="0">
                  <c:v>0.21</c:v>
                </c:pt>
                <c:pt idx="1">
                  <c:v>0.19</c:v>
                </c:pt>
                <c:pt idx="2">
                  <c:v>0.18</c:v>
                </c:pt>
                <c:pt idx="3">
                  <c:v>0.17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1-4FBB-8651-5701EF1E22B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1-4FBB-8651-5701EF1E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Enthalpy</a:t>
                </a:r>
                <a:r>
                  <a:rPr lang="en-CA" baseline="0"/>
                  <a:t> of Combustion (kJ/g)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(Conserv!$M$26,Conserv!$M$21,Conserv!$M$27,Conserv!$M$13)</c:f>
              <c:numCache>
                <c:formatCode>General</c:formatCode>
                <c:ptCount val="4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3-4F07-BB48-633EBE5C4254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(Conserv!$M$25,Conserv!$M$19,Conserv!$M$34,Conserv!$M$31)</c:f>
              <c:numCache>
                <c:formatCode>General</c:formatCode>
                <c:ptCount val="4"/>
                <c:pt idx="0">
                  <c:v>0.62</c:v>
                </c:pt>
                <c:pt idx="1">
                  <c:v>0.85</c:v>
                </c:pt>
                <c:pt idx="2">
                  <c:v>1.4</c:v>
                </c:pt>
                <c:pt idx="3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6-48B4-A13B-DC079EAA164D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('Tests-Axi'!$S$12,'Tests-Axi'!$S$13,'Tests-Axi'!$S$14,'Tests-Axi'!$S$15)</c:f>
              <c:numCache>
                <c:formatCode>General</c:formatCode>
                <c:ptCount val="4"/>
                <c:pt idx="0">
                  <c:v>0.18</c:v>
                </c:pt>
                <c:pt idx="1">
                  <c:v>0.24</c:v>
                </c:pt>
                <c:pt idx="2">
                  <c:v>0.45</c:v>
                </c:pt>
                <c:pt idx="3">
                  <c:v>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104-A786-BA761AE19B7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104-A786-BA761AE19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Peak Temperature vs Enthalpy of Combustion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Ea=70</c:v>
          </c:tx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(Conserv!$O$35,Conserv!$O$32,Conserv!$O$25,Conserv!$O$33)</c:f>
              <c:numCache>
                <c:formatCode>General</c:formatCode>
                <c:ptCount val="4"/>
                <c:pt idx="0">
                  <c:v>6000</c:v>
                </c:pt>
                <c:pt idx="1">
                  <c:v>6600</c:v>
                </c:pt>
                <c:pt idx="2">
                  <c:v>7800</c:v>
                </c:pt>
                <c:pt idx="3">
                  <c:v>8100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F-4567-BBB6-DDC134EB9488}"/>
            </c:ext>
          </c:extLst>
        </c:ser>
        <c:ser>
          <c:idx val="1"/>
          <c:order val="1"/>
          <c:tx>
            <c:v>Ea=48</c:v>
          </c:tx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(Conserv!$O$29,Conserv!$O$28,Conserv!$O$26,Conserv!$O$30)</c:f>
              <c:numCache>
                <c:formatCode>General</c:formatCode>
                <c:ptCount val="4"/>
                <c:pt idx="0">
                  <c:v>5900</c:v>
                </c:pt>
                <c:pt idx="1">
                  <c:v>7600</c:v>
                </c:pt>
                <c:pt idx="2">
                  <c:v>7800</c:v>
                </c:pt>
                <c:pt idx="3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B-44CA-9F4B-0FA14CB5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0720"/>
        <c:axId val="539914000"/>
      </c:scatterChart>
      <c:valAx>
        <c:axId val="5399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4000"/>
        <c:crosses val="autoZero"/>
        <c:crossBetween val="midCat"/>
      </c:valAx>
      <c:valAx>
        <c:axId val="539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Graphs!$C$44:$C$48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Graphs!$E$44:$E$48</c:f>
              <c:numCache>
                <c:formatCode>General</c:formatCode>
                <c:ptCount val="5"/>
                <c:pt idx="0">
                  <c:v>2.88</c:v>
                </c:pt>
                <c:pt idx="1">
                  <c:v>3.57</c:v>
                </c:pt>
                <c:pt idx="2">
                  <c:v>8.94</c:v>
                </c:pt>
                <c:pt idx="3">
                  <c:v>15.83</c:v>
                </c:pt>
                <c:pt idx="4">
                  <c:v>24.76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2-4D45-A439-B972C8504A79}"/>
            </c:ext>
          </c:extLst>
        </c:ser>
        <c:ser>
          <c:idx val="2"/>
          <c:order val="2"/>
          <c:tx>
            <c:strRef>
              <c:f>Graphs!$A$54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Graphs!$C$54:$C$58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Graphs!$E$54:$E$58</c:f>
              <c:numCache>
                <c:formatCode>General</c:formatCode>
                <c:ptCount val="5"/>
                <c:pt idx="0">
                  <c:v>11.56</c:v>
                </c:pt>
                <c:pt idx="1">
                  <c:v>7.17</c:v>
                </c:pt>
                <c:pt idx="2">
                  <c:v>22.63</c:v>
                </c:pt>
                <c:pt idx="3">
                  <c:v>26.65</c:v>
                </c:pt>
                <c:pt idx="4">
                  <c:v>80.36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2-4D45-A439-B972C8504A79}"/>
            </c:ext>
          </c:extLst>
        </c:ser>
        <c:ser>
          <c:idx val="3"/>
          <c:order val="3"/>
          <c:tx>
            <c:v>Experiments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Graphs!$I$44:$I$73</c:f>
              <c:numCache>
                <c:formatCode>General</c:formatCode>
                <c:ptCount val="30"/>
                <c:pt idx="0">
                  <c:v>0.13</c:v>
                </c:pt>
                <c:pt idx="1">
                  <c:v>0.3</c:v>
                </c:pt>
                <c:pt idx="2">
                  <c:v>0.3</c:v>
                </c:pt>
                <c:pt idx="3">
                  <c:v>0.31</c:v>
                </c:pt>
                <c:pt idx="4">
                  <c:v>0.57999999999999996</c:v>
                </c:pt>
                <c:pt idx="5">
                  <c:v>0.6</c:v>
                </c:pt>
                <c:pt idx="6">
                  <c:v>0.6</c:v>
                </c:pt>
                <c:pt idx="7">
                  <c:v>0.12</c:v>
                </c:pt>
                <c:pt idx="8">
                  <c:v>0.38</c:v>
                </c:pt>
                <c:pt idx="9">
                  <c:v>0.4</c:v>
                </c:pt>
                <c:pt idx="10">
                  <c:v>0.5</c:v>
                </c:pt>
                <c:pt idx="11">
                  <c:v>0.57999999999999996</c:v>
                </c:pt>
                <c:pt idx="12">
                  <c:v>0.12</c:v>
                </c:pt>
                <c:pt idx="13">
                  <c:v>0.36</c:v>
                </c:pt>
                <c:pt idx="14">
                  <c:v>0.5</c:v>
                </c:pt>
                <c:pt idx="15">
                  <c:v>0.53</c:v>
                </c:pt>
                <c:pt idx="16">
                  <c:v>0.59</c:v>
                </c:pt>
                <c:pt idx="17">
                  <c:v>6.6000000000000003E-2</c:v>
                </c:pt>
                <c:pt idx="18">
                  <c:v>6.6000000000000003E-2</c:v>
                </c:pt>
                <c:pt idx="19">
                  <c:v>6.6000000000000003E-2</c:v>
                </c:pt>
                <c:pt idx="20">
                  <c:v>6.6000000000000003E-2</c:v>
                </c:pt>
                <c:pt idx="21">
                  <c:v>6.6000000000000003E-2</c:v>
                </c:pt>
                <c:pt idx="22">
                  <c:v>6.6000000000000003E-2</c:v>
                </c:pt>
                <c:pt idx="23">
                  <c:v>6.6000000000000003E-2</c:v>
                </c:pt>
                <c:pt idx="24">
                  <c:v>6.6000000000000003E-2</c:v>
                </c:pt>
                <c:pt idx="25">
                  <c:v>6.6000000000000003E-2</c:v>
                </c:pt>
                <c:pt idx="28">
                  <c:v>7.0000000000000007E-2</c:v>
                </c:pt>
                <c:pt idx="29">
                  <c:v>7.0000000000000007E-2</c:v>
                </c:pt>
              </c:numCache>
              <c:extLst xmlns:c15="http://schemas.microsoft.com/office/drawing/2012/chart"/>
            </c:numRef>
          </c:xVal>
          <c:yVal>
            <c:numRef>
              <c:f>Graphs!$K$44:$K$73</c:f>
              <c:numCache>
                <c:formatCode>General</c:formatCode>
                <c:ptCount val="30"/>
                <c:pt idx="0">
                  <c:v>30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4</c:v>
                </c:pt>
                <c:pt idx="5">
                  <c:v>3</c:v>
                </c:pt>
                <c:pt idx="6">
                  <c:v>7</c:v>
                </c:pt>
                <c:pt idx="7">
                  <c:v>200</c:v>
                </c:pt>
                <c:pt idx="8">
                  <c:v>20</c:v>
                </c:pt>
                <c:pt idx="9">
                  <c:v>30</c:v>
                </c:pt>
                <c:pt idx="10">
                  <c:v>20</c:v>
                </c:pt>
                <c:pt idx="11">
                  <c:v>20</c:v>
                </c:pt>
                <c:pt idx="12">
                  <c:v>200</c:v>
                </c:pt>
                <c:pt idx="13">
                  <c:v>20</c:v>
                </c:pt>
                <c:pt idx="14">
                  <c:v>7</c:v>
                </c:pt>
                <c:pt idx="15">
                  <c:v>40</c:v>
                </c:pt>
                <c:pt idx="16">
                  <c:v>30</c:v>
                </c:pt>
                <c:pt idx="17">
                  <c:v>800</c:v>
                </c:pt>
                <c:pt idx="18">
                  <c:v>900</c:v>
                </c:pt>
                <c:pt idx="19">
                  <c:v>700</c:v>
                </c:pt>
                <c:pt idx="20">
                  <c:v>300</c:v>
                </c:pt>
                <c:pt idx="21">
                  <c:v>40</c:v>
                </c:pt>
                <c:pt idx="22">
                  <c:v>30</c:v>
                </c:pt>
                <c:pt idx="23">
                  <c:v>15</c:v>
                </c:pt>
                <c:pt idx="24">
                  <c:v>2</c:v>
                </c:pt>
                <c:pt idx="25">
                  <c:v>1.5</c:v>
                </c:pt>
                <c:pt idx="28">
                  <c:v>134</c:v>
                </c:pt>
                <c:pt idx="29">
                  <c:v>583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CB-481B-A2EA-A351D10E2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Graphs!$A$49</c15:sqref>
                        </c15:formulaRef>
                      </c:ext>
                    </c:extLst>
                    <c:strCache>
                      <c:ptCount val="1"/>
                      <c:pt idx="0">
                        <c:v>60nm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Graphs!$C$49:$C$53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0.99</c:v>
                      </c:pt>
                      <c:pt idx="1">
                        <c:v>0.9</c:v>
                      </c:pt>
                      <c:pt idx="2">
                        <c:v>0.5</c:v>
                      </c:pt>
                      <c:pt idx="3">
                        <c:v>0.25</c:v>
                      </c:pt>
                      <c:pt idx="4">
                        <c:v>9.9999999999999978E-2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Graphs!$E$49:$E$53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2.67</c:v>
                      </c:pt>
                      <c:pt idx="1">
                        <c:v>3.24</c:v>
                      </c:pt>
                      <c:pt idx="2">
                        <c:v>6.69</c:v>
                      </c:pt>
                      <c:pt idx="3">
                        <c:v>9.3699999999999992</c:v>
                      </c:pt>
                      <c:pt idx="4">
                        <c:v>13.78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9372-4D45-A439-B972C8504A79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Ignition delay</a:t>
            </a:r>
            <a:r>
              <a:rPr lang="en-CA" baseline="0"/>
              <a:t> </a:t>
            </a:r>
            <a:r>
              <a:rPr lang="en-CA"/>
              <a:t>versus %TMD</a:t>
            </a:r>
          </a:p>
        </c:rich>
      </c:tx>
      <c:layout>
        <c:manualLayout>
          <c:xMode val="edge"/>
          <c:yMode val="edge"/>
          <c:x val="0.33884100508941761"/>
          <c:y val="2.3357660653652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Graphs!$C$44:$C$48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Graphs!$D$44:$D$48</c:f>
              <c:numCache>
                <c:formatCode>General</c:formatCode>
                <c:ptCount val="5"/>
                <c:pt idx="0">
                  <c:v>0.51</c:v>
                </c:pt>
                <c:pt idx="1">
                  <c:v>0.27600000000000002</c:v>
                </c:pt>
                <c:pt idx="2">
                  <c:v>0.19</c:v>
                </c:pt>
                <c:pt idx="3">
                  <c:v>9.9299999999999999E-2</c:v>
                </c:pt>
                <c:pt idx="4">
                  <c:v>6.6199999999999995E-2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5-4C06-B4AC-6071AB40D92A}"/>
            </c:ext>
          </c:extLst>
        </c:ser>
        <c:ser>
          <c:idx val="2"/>
          <c:order val="2"/>
          <c:tx>
            <c:strRef>
              <c:f>Graphs!$A$54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Graphs!$C$54:$C$58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Graphs!$D$54:$D$58</c:f>
              <c:numCache>
                <c:formatCode>General</c:formatCode>
                <c:ptCount val="5"/>
                <c:pt idx="0">
                  <c:v>0.29199999999999998</c:v>
                </c:pt>
                <c:pt idx="1">
                  <c:v>0.22</c:v>
                </c:pt>
                <c:pt idx="2">
                  <c:v>0.14899999999999999</c:v>
                </c:pt>
                <c:pt idx="3">
                  <c:v>9.9000000000000005E-2</c:v>
                </c:pt>
                <c:pt idx="4">
                  <c:v>6.5000000000000002E-2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5-4C06-B4AC-6071AB40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Graphs!$A$49</c15:sqref>
                        </c15:formulaRef>
                      </c:ext>
                    </c:extLst>
                    <c:strCache>
                      <c:ptCount val="1"/>
                      <c:pt idx="0">
                        <c:v>60nm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Graphs!$C$49:$C$53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0.99</c:v>
                      </c:pt>
                      <c:pt idx="1">
                        <c:v>0.9</c:v>
                      </c:pt>
                      <c:pt idx="2">
                        <c:v>0.5</c:v>
                      </c:pt>
                      <c:pt idx="3">
                        <c:v>0.25</c:v>
                      </c:pt>
                      <c:pt idx="4">
                        <c:v>9.9999999999999978E-2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Graphs!$D$49:$D$53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0.64600000000000002</c:v>
                      </c:pt>
                      <c:pt idx="1">
                        <c:v>0.28699999999999998</c:v>
                      </c:pt>
                      <c:pt idx="2">
                        <c:v>0.188</c:v>
                      </c:pt>
                      <c:pt idx="3">
                        <c:v>0.10100000000000001</c:v>
                      </c:pt>
                      <c:pt idx="4">
                        <c:v>6.6000000000000003E-2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8CD5-4C06-B4AC-6071AB40D92A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Peak burn rate versus %TMD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Graphs!$C$44:$C$48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Graphs!$F$44:$F$48</c:f>
              <c:numCache>
                <c:formatCode>General</c:formatCode>
                <c:ptCount val="5"/>
                <c:pt idx="0">
                  <c:v>3.24</c:v>
                </c:pt>
                <c:pt idx="1">
                  <c:v>3.7</c:v>
                </c:pt>
                <c:pt idx="2">
                  <c:v>11.4</c:v>
                </c:pt>
                <c:pt idx="3">
                  <c:v>22.43</c:v>
                </c:pt>
                <c:pt idx="4">
                  <c:v>34.47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0C-416E-88B5-48031125AA70}"/>
            </c:ext>
          </c:extLst>
        </c:ser>
        <c:ser>
          <c:idx val="2"/>
          <c:order val="2"/>
          <c:tx>
            <c:strRef>
              <c:f>Graphs!$A$54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Graphs!$C$54:$C$58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Graphs!$F$54:$F$58</c:f>
              <c:numCache>
                <c:formatCode>General</c:formatCode>
                <c:ptCount val="5"/>
                <c:pt idx="0">
                  <c:v>4.6900000000000004</c:v>
                </c:pt>
                <c:pt idx="1">
                  <c:v>7.38</c:v>
                </c:pt>
                <c:pt idx="2">
                  <c:v>33.630000000000003</c:v>
                </c:pt>
                <c:pt idx="3">
                  <c:v>35.44</c:v>
                </c:pt>
                <c:pt idx="4">
                  <c:v>105.18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0C-416E-88B5-48031125AA70}"/>
            </c:ext>
          </c:extLst>
        </c:ser>
        <c:ser>
          <c:idx val="3"/>
          <c:order val="3"/>
          <c:tx>
            <c:v>Experiments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Graphs!$I$44:$I$73</c:f>
              <c:numCache>
                <c:formatCode>General</c:formatCode>
                <c:ptCount val="30"/>
                <c:pt idx="0">
                  <c:v>0.13</c:v>
                </c:pt>
                <c:pt idx="1">
                  <c:v>0.3</c:v>
                </c:pt>
                <c:pt idx="2">
                  <c:v>0.3</c:v>
                </c:pt>
                <c:pt idx="3">
                  <c:v>0.31</c:v>
                </c:pt>
                <c:pt idx="4">
                  <c:v>0.57999999999999996</c:v>
                </c:pt>
                <c:pt idx="5">
                  <c:v>0.6</c:v>
                </c:pt>
                <c:pt idx="6">
                  <c:v>0.6</c:v>
                </c:pt>
                <c:pt idx="7">
                  <c:v>0.12</c:v>
                </c:pt>
                <c:pt idx="8">
                  <c:v>0.38</c:v>
                </c:pt>
                <c:pt idx="9">
                  <c:v>0.4</c:v>
                </c:pt>
                <c:pt idx="10">
                  <c:v>0.5</c:v>
                </c:pt>
                <c:pt idx="11">
                  <c:v>0.57999999999999996</c:v>
                </c:pt>
                <c:pt idx="12">
                  <c:v>0.12</c:v>
                </c:pt>
                <c:pt idx="13">
                  <c:v>0.36</c:v>
                </c:pt>
                <c:pt idx="14">
                  <c:v>0.5</c:v>
                </c:pt>
                <c:pt idx="15">
                  <c:v>0.53</c:v>
                </c:pt>
                <c:pt idx="16">
                  <c:v>0.59</c:v>
                </c:pt>
                <c:pt idx="17">
                  <c:v>6.6000000000000003E-2</c:v>
                </c:pt>
                <c:pt idx="18">
                  <c:v>6.6000000000000003E-2</c:v>
                </c:pt>
                <c:pt idx="19">
                  <c:v>6.6000000000000003E-2</c:v>
                </c:pt>
                <c:pt idx="20">
                  <c:v>6.6000000000000003E-2</c:v>
                </c:pt>
                <c:pt idx="21">
                  <c:v>6.6000000000000003E-2</c:v>
                </c:pt>
                <c:pt idx="22">
                  <c:v>6.6000000000000003E-2</c:v>
                </c:pt>
                <c:pt idx="23">
                  <c:v>6.6000000000000003E-2</c:v>
                </c:pt>
                <c:pt idx="24">
                  <c:v>6.6000000000000003E-2</c:v>
                </c:pt>
                <c:pt idx="25">
                  <c:v>6.6000000000000003E-2</c:v>
                </c:pt>
                <c:pt idx="28">
                  <c:v>7.0000000000000007E-2</c:v>
                </c:pt>
                <c:pt idx="29">
                  <c:v>7.0000000000000007E-2</c:v>
                </c:pt>
              </c:numCache>
              <c:extLst xmlns:c15="http://schemas.microsoft.com/office/drawing/2012/chart"/>
            </c:numRef>
          </c:xVal>
          <c:yVal>
            <c:numRef>
              <c:f>Graphs!$K$44:$K$73</c:f>
              <c:numCache>
                <c:formatCode>General</c:formatCode>
                <c:ptCount val="30"/>
                <c:pt idx="0">
                  <c:v>30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4</c:v>
                </c:pt>
                <c:pt idx="5">
                  <c:v>3</c:v>
                </c:pt>
                <c:pt idx="6">
                  <c:v>7</c:v>
                </c:pt>
                <c:pt idx="7">
                  <c:v>200</c:v>
                </c:pt>
                <c:pt idx="8">
                  <c:v>20</c:v>
                </c:pt>
                <c:pt idx="9">
                  <c:v>30</c:v>
                </c:pt>
                <c:pt idx="10">
                  <c:v>20</c:v>
                </c:pt>
                <c:pt idx="11">
                  <c:v>20</c:v>
                </c:pt>
                <c:pt idx="12">
                  <c:v>200</c:v>
                </c:pt>
                <c:pt idx="13">
                  <c:v>20</c:v>
                </c:pt>
                <c:pt idx="14">
                  <c:v>7</c:v>
                </c:pt>
                <c:pt idx="15">
                  <c:v>40</c:v>
                </c:pt>
                <c:pt idx="16">
                  <c:v>30</c:v>
                </c:pt>
                <c:pt idx="17">
                  <c:v>800</c:v>
                </c:pt>
                <c:pt idx="18">
                  <c:v>900</c:v>
                </c:pt>
                <c:pt idx="19">
                  <c:v>700</c:v>
                </c:pt>
                <c:pt idx="20">
                  <c:v>300</c:v>
                </c:pt>
                <c:pt idx="21">
                  <c:v>40</c:v>
                </c:pt>
                <c:pt idx="22">
                  <c:v>30</c:v>
                </c:pt>
                <c:pt idx="23">
                  <c:v>15</c:v>
                </c:pt>
                <c:pt idx="24">
                  <c:v>2</c:v>
                </c:pt>
                <c:pt idx="25">
                  <c:v>1.5</c:v>
                </c:pt>
                <c:pt idx="28">
                  <c:v>134</c:v>
                </c:pt>
                <c:pt idx="29">
                  <c:v>583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0C-416E-88B5-48031125A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Graphs!$A$49</c15:sqref>
                        </c15:formulaRef>
                      </c:ext>
                    </c:extLst>
                    <c:strCache>
                      <c:ptCount val="1"/>
                      <c:pt idx="0">
                        <c:v>60nm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Graphs!$C$49:$C$53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0.99</c:v>
                      </c:pt>
                      <c:pt idx="1">
                        <c:v>0.9</c:v>
                      </c:pt>
                      <c:pt idx="2">
                        <c:v>0.5</c:v>
                      </c:pt>
                      <c:pt idx="3">
                        <c:v>0.25</c:v>
                      </c:pt>
                      <c:pt idx="4">
                        <c:v>9.9999999999999978E-2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Graphs!$F$49:$F$53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500C-416E-88B5-48031125AA70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40nm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Graphs!$B$79</c:f>
              <c:strCache>
                <c:ptCount val="1"/>
                <c:pt idx="0">
                  <c:v>0.99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Graphs!$D$80:$D$86</c:f>
              <c:numCache>
                <c:formatCode>General</c:formatCode>
                <c:ptCount val="7"/>
                <c:pt idx="0">
                  <c:v>9.0908999081819084E-2</c:v>
                </c:pt>
                <c:pt idx="1">
                  <c:v>0.24242399755151764</c:v>
                </c:pt>
                <c:pt idx="2">
                  <c:v>0.39393899602121618</c:v>
                </c:pt>
                <c:pt idx="3">
                  <c:v>0.5454539944909147</c:v>
                </c:pt>
                <c:pt idx="4">
                  <c:v>0.69697000306060308</c:v>
                </c:pt>
                <c:pt idx="5">
                  <c:v>0.8484850015303016</c:v>
                </c:pt>
                <c:pt idx="6">
                  <c:v>1</c:v>
                </c:pt>
              </c:numCache>
            </c:numRef>
          </c:xVal>
          <c:yVal>
            <c:numRef>
              <c:f>Graphs!$E$80:$E$86</c:f>
              <c:numCache>
                <c:formatCode>General</c:formatCode>
                <c:ptCount val="7"/>
                <c:pt idx="0">
                  <c:v>3.11</c:v>
                </c:pt>
                <c:pt idx="1">
                  <c:v>2.73</c:v>
                </c:pt>
                <c:pt idx="2">
                  <c:v>2.69</c:v>
                </c:pt>
                <c:pt idx="3">
                  <c:v>3.24</c:v>
                </c:pt>
                <c:pt idx="4">
                  <c:v>2.71</c:v>
                </c:pt>
                <c:pt idx="5">
                  <c:v>3.13</c:v>
                </c:pt>
                <c:pt idx="6">
                  <c:v>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6-41A9-90DE-15D538ABA945}"/>
            </c:ext>
          </c:extLst>
        </c:ser>
        <c:ser>
          <c:idx val="1"/>
          <c:order val="1"/>
          <c:tx>
            <c:strRef>
              <c:f>Graphs!$G$79</c:f>
              <c:strCache>
                <c:ptCount val="1"/>
                <c:pt idx="0">
                  <c:v>0.9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Graphs!$I$80:$I$99</c:f>
              <c:numCache>
                <c:formatCode>General</c:formatCode>
                <c:ptCount val="20"/>
                <c:pt idx="0">
                  <c:v>1.9607843137254874E-2</c:v>
                </c:pt>
                <c:pt idx="1">
                  <c:v>2.715686274509804</c:v>
                </c:pt>
                <c:pt idx="2">
                  <c:v>0.11764705882352938</c:v>
                </c:pt>
                <c:pt idx="3">
                  <c:v>0.16666666666666663</c:v>
                </c:pt>
                <c:pt idx="4">
                  <c:v>0.21568627450980393</c:v>
                </c:pt>
                <c:pt idx="5">
                  <c:v>0.26470588235294112</c:v>
                </c:pt>
                <c:pt idx="6">
                  <c:v>0.31372549019607843</c:v>
                </c:pt>
                <c:pt idx="7">
                  <c:v>0.36274509803921567</c:v>
                </c:pt>
                <c:pt idx="8">
                  <c:v>0.41176470588235298</c:v>
                </c:pt>
                <c:pt idx="9">
                  <c:v>0.46078431372549017</c:v>
                </c:pt>
                <c:pt idx="10">
                  <c:v>0.50980392156862742</c:v>
                </c:pt>
                <c:pt idx="11">
                  <c:v>0.55882352941176472</c:v>
                </c:pt>
                <c:pt idx="12">
                  <c:v>0.60784313725490202</c:v>
                </c:pt>
                <c:pt idx="13">
                  <c:v>0.65686274509803921</c:v>
                </c:pt>
                <c:pt idx="14">
                  <c:v>0.70588235294117641</c:v>
                </c:pt>
                <c:pt idx="15">
                  <c:v>0.75490196078431371</c:v>
                </c:pt>
                <c:pt idx="16">
                  <c:v>0.80392156862745101</c:v>
                </c:pt>
                <c:pt idx="17">
                  <c:v>0.85294117647058831</c:v>
                </c:pt>
                <c:pt idx="18">
                  <c:v>0.90196078431372539</c:v>
                </c:pt>
                <c:pt idx="19">
                  <c:v>1</c:v>
                </c:pt>
              </c:numCache>
            </c:numRef>
          </c:xVal>
          <c:yVal>
            <c:numRef>
              <c:f>Graphs!$J$80:$J$99</c:f>
              <c:numCache>
                <c:formatCode>General</c:formatCode>
                <c:ptCount val="20"/>
                <c:pt idx="0">
                  <c:v>3</c:v>
                </c:pt>
                <c:pt idx="1">
                  <c:v>3.25</c:v>
                </c:pt>
                <c:pt idx="2">
                  <c:v>3.22</c:v>
                </c:pt>
                <c:pt idx="3">
                  <c:v>3.1</c:v>
                </c:pt>
                <c:pt idx="4">
                  <c:v>3.5</c:v>
                </c:pt>
                <c:pt idx="5">
                  <c:v>3.55</c:v>
                </c:pt>
                <c:pt idx="6">
                  <c:v>3.14</c:v>
                </c:pt>
                <c:pt idx="7">
                  <c:v>3.7</c:v>
                </c:pt>
                <c:pt idx="8">
                  <c:v>3.15</c:v>
                </c:pt>
                <c:pt idx="9">
                  <c:v>3.68</c:v>
                </c:pt>
                <c:pt idx="10">
                  <c:v>3.17</c:v>
                </c:pt>
                <c:pt idx="11">
                  <c:v>3.69</c:v>
                </c:pt>
                <c:pt idx="12">
                  <c:v>3.15</c:v>
                </c:pt>
                <c:pt idx="13">
                  <c:v>3.72</c:v>
                </c:pt>
                <c:pt idx="14">
                  <c:v>3.14</c:v>
                </c:pt>
                <c:pt idx="15">
                  <c:v>3.69</c:v>
                </c:pt>
                <c:pt idx="16">
                  <c:v>3.24</c:v>
                </c:pt>
                <c:pt idx="17">
                  <c:v>3.52</c:v>
                </c:pt>
                <c:pt idx="18">
                  <c:v>3.47</c:v>
                </c:pt>
                <c:pt idx="19">
                  <c:v>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36-41A9-90DE-15D538ABA945}"/>
            </c:ext>
          </c:extLst>
        </c:ser>
        <c:ser>
          <c:idx val="2"/>
          <c:order val="2"/>
          <c:tx>
            <c:strRef>
              <c:f>Graphs!$L$79</c:f>
              <c:strCache>
                <c:ptCount val="1"/>
                <c:pt idx="0">
                  <c:v>0.5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Graphs!$N$80:$N$97</c:f>
              <c:numCache>
                <c:formatCode>General</c:formatCode>
                <c:ptCount val="18"/>
                <c:pt idx="0">
                  <c:v>1.4779773978556962E-2</c:v>
                </c:pt>
                <c:pt idx="1">
                  <c:v>7.2733990147783242E-2</c:v>
                </c:pt>
                <c:pt idx="2">
                  <c:v>0.13068820631700956</c:v>
                </c:pt>
                <c:pt idx="3">
                  <c:v>0.18864097363083165</c:v>
                </c:pt>
                <c:pt idx="4">
                  <c:v>0.24659518980005793</c:v>
                </c:pt>
                <c:pt idx="5">
                  <c:v>0.30454940596928426</c:v>
                </c:pt>
                <c:pt idx="6">
                  <c:v>0.36250362213851051</c:v>
                </c:pt>
                <c:pt idx="7">
                  <c:v>0.42045783830773686</c:v>
                </c:pt>
                <c:pt idx="8">
                  <c:v>0.47841205447696322</c:v>
                </c:pt>
                <c:pt idx="9">
                  <c:v>0.53636627064618958</c:v>
                </c:pt>
                <c:pt idx="10">
                  <c:v>0.59432048681541583</c:v>
                </c:pt>
                <c:pt idx="11">
                  <c:v>0.65227470298464219</c:v>
                </c:pt>
                <c:pt idx="12">
                  <c:v>0.71022891915386854</c:v>
                </c:pt>
                <c:pt idx="13">
                  <c:v>0.76818313532309468</c:v>
                </c:pt>
                <c:pt idx="14">
                  <c:v>0.82613735149232104</c:v>
                </c:pt>
                <c:pt idx="15">
                  <c:v>0.8840915676615474</c:v>
                </c:pt>
                <c:pt idx="16">
                  <c:v>0.94204578383077364</c:v>
                </c:pt>
                <c:pt idx="17">
                  <c:v>1</c:v>
                </c:pt>
              </c:numCache>
            </c:numRef>
          </c:xVal>
          <c:yVal>
            <c:numRef>
              <c:f>Graphs!$O$80:$O$97</c:f>
              <c:numCache>
                <c:formatCode>General</c:formatCode>
                <c:ptCount val="18"/>
                <c:pt idx="0">
                  <c:v>6.4</c:v>
                </c:pt>
                <c:pt idx="1">
                  <c:v>7.74</c:v>
                </c:pt>
                <c:pt idx="2">
                  <c:v>8.17</c:v>
                </c:pt>
                <c:pt idx="3">
                  <c:v>8.4</c:v>
                </c:pt>
                <c:pt idx="4">
                  <c:v>8.51</c:v>
                </c:pt>
                <c:pt idx="5">
                  <c:v>8.82</c:v>
                </c:pt>
                <c:pt idx="6">
                  <c:v>8.98</c:v>
                </c:pt>
                <c:pt idx="7">
                  <c:v>8.7799999999999994</c:v>
                </c:pt>
                <c:pt idx="8">
                  <c:v>8.74</c:v>
                </c:pt>
                <c:pt idx="9">
                  <c:v>9.58</c:v>
                </c:pt>
                <c:pt idx="10">
                  <c:v>9.83</c:v>
                </c:pt>
                <c:pt idx="11">
                  <c:v>9.02</c:v>
                </c:pt>
                <c:pt idx="12">
                  <c:v>7.74</c:v>
                </c:pt>
                <c:pt idx="13">
                  <c:v>7.62</c:v>
                </c:pt>
                <c:pt idx="14">
                  <c:v>9.93</c:v>
                </c:pt>
                <c:pt idx="15">
                  <c:v>11.4</c:v>
                </c:pt>
                <c:pt idx="16">
                  <c:v>2.87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36-41A9-90DE-15D538ABA945}"/>
            </c:ext>
          </c:extLst>
        </c:ser>
        <c:ser>
          <c:idx val="3"/>
          <c:order val="3"/>
          <c:tx>
            <c:strRef>
              <c:f>Graphs!$Q$79</c:f>
              <c:strCache>
                <c:ptCount val="1"/>
                <c:pt idx="0">
                  <c:v>0.25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Graphs!$S$80:$S$95</c:f>
              <c:numCache>
                <c:formatCode>General</c:formatCode>
                <c:ptCount val="16"/>
                <c:pt idx="0">
                  <c:v>5.4373522458628837E-2</c:v>
                </c:pt>
                <c:pt idx="1">
                  <c:v>0.11741791436826896</c:v>
                </c:pt>
                <c:pt idx="2">
                  <c:v>0.18045967953769376</c:v>
                </c:pt>
                <c:pt idx="3">
                  <c:v>0.24350144470711849</c:v>
                </c:pt>
                <c:pt idx="4">
                  <c:v>0.30654320987654321</c:v>
                </c:pt>
                <c:pt idx="5">
                  <c:v>0.36958497504596793</c:v>
                </c:pt>
                <c:pt idx="6">
                  <c:v>0.43262674021539266</c:v>
                </c:pt>
                <c:pt idx="7">
                  <c:v>0.49566850538481749</c:v>
                </c:pt>
                <c:pt idx="8">
                  <c:v>0.55871027055424216</c:v>
                </c:pt>
                <c:pt idx="9">
                  <c:v>0.62174940898345166</c:v>
                </c:pt>
                <c:pt idx="10">
                  <c:v>0.68479117415287627</c:v>
                </c:pt>
                <c:pt idx="11">
                  <c:v>0.7478329393223011</c:v>
                </c:pt>
                <c:pt idx="12">
                  <c:v>0.81087470449172572</c:v>
                </c:pt>
                <c:pt idx="13">
                  <c:v>0.87391646966115055</c:v>
                </c:pt>
                <c:pt idx="14">
                  <c:v>0.93695823483057539</c:v>
                </c:pt>
                <c:pt idx="15">
                  <c:v>1</c:v>
                </c:pt>
              </c:numCache>
            </c:numRef>
          </c:xVal>
          <c:yVal>
            <c:numRef>
              <c:f>Graphs!$T$80:$T$95</c:f>
              <c:numCache>
                <c:formatCode>General</c:formatCode>
                <c:ptCount val="16"/>
                <c:pt idx="0">
                  <c:v>10.09</c:v>
                </c:pt>
                <c:pt idx="1">
                  <c:v>13.14</c:v>
                </c:pt>
                <c:pt idx="2">
                  <c:v>15.88</c:v>
                </c:pt>
                <c:pt idx="3">
                  <c:v>17.91</c:v>
                </c:pt>
                <c:pt idx="4">
                  <c:v>19.53</c:v>
                </c:pt>
                <c:pt idx="5">
                  <c:v>21.19</c:v>
                </c:pt>
                <c:pt idx="6">
                  <c:v>20.82</c:v>
                </c:pt>
                <c:pt idx="7">
                  <c:v>21.58</c:v>
                </c:pt>
                <c:pt idx="8">
                  <c:v>22.19</c:v>
                </c:pt>
                <c:pt idx="9">
                  <c:v>22</c:v>
                </c:pt>
                <c:pt idx="10">
                  <c:v>22.43</c:v>
                </c:pt>
                <c:pt idx="11">
                  <c:v>21.59</c:v>
                </c:pt>
                <c:pt idx="12">
                  <c:v>4.99</c:v>
                </c:pt>
                <c:pt idx="13">
                  <c:v>6.16</c:v>
                </c:pt>
                <c:pt idx="14">
                  <c:v>0.98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136-41A9-90DE-15D538ABA945}"/>
            </c:ext>
          </c:extLst>
        </c:ser>
        <c:ser>
          <c:idx val="4"/>
          <c:order val="4"/>
          <c:tx>
            <c:strRef>
              <c:f>Graphs!$V$79</c:f>
              <c:strCache>
                <c:ptCount val="1"/>
                <c:pt idx="0">
                  <c:v>0.1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Graphs!$X$80:$X$92</c:f>
              <c:numCache>
                <c:formatCode>General</c:formatCode>
                <c:ptCount val="13"/>
                <c:pt idx="0">
                  <c:v>5.4373308221795841E-2</c:v>
                </c:pt>
                <c:pt idx="1">
                  <c:v>0.13317520419541298</c:v>
                </c:pt>
                <c:pt idx="2">
                  <c:v>0.21197710016903007</c:v>
                </c:pt>
                <c:pt idx="3">
                  <c:v>0.29078293623744583</c:v>
                </c:pt>
                <c:pt idx="4">
                  <c:v>0.36958483221106303</c:v>
                </c:pt>
                <c:pt idx="5">
                  <c:v>0.44838672818468012</c:v>
                </c:pt>
                <c:pt idx="6">
                  <c:v>0.52718862415829726</c:v>
                </c:pt>
                <c:pt idx="7">
                  <c:v>0.60599052013191446</c:v>
                </c:pt>
                <c:pt idx="8">
                  <c:v>0.68479241610553143</c:v>
                </c:pt>
                <c:pt idx="9">
                  <c:v>0.76359431207914863</c:v>
                </c:pt>
                <c:pt idx="10">
                  <c:v>0.84239620805276583</c:v>
                </c:pt>
                <c:pt idx="11">
                  <c:v>0.92119810402638302</c:v>
                </c:pt>
                <c:pt idx="12">
                  <c:v>1</c:v>
                </c:pt>
              </c:numCache>
            </c:numRef>
          </c:xVal>
          <c:yVal>
            <c:numRef>
              <c:f>Graphs!$Y$80:$Y$92</c:f>
              <c:numCache>
                <c:formatCode>General</c:formatCode>
                <c:ptCount val="13"/>
                <c:pt idx="0">
                  <c:v>12.66</c:v>
                </c:pt>
                <c:pt idx="1">
                  <c:v>18.73</c:v>
                </c:pt>
                <c:pt idx="2">
                  <c:v>26.11</c:v>
                </c:pt>
                <c:pt idx="3">
                  <c:v>32.01</c:v>
                </c:pt>
                <c:pt idx="4">
                  <c:v>34.24</c:v>
                </c:pt>
                <c:pt idx="5">
                  <c:v>34.49</c:v>
                </c:pt>
                <c:pt idx="6">
                  <c:v>34.46</c:v>
                </c:pt>
                <c:pt idx="7">
                  <c:v>34.42</c:v>
                </c:pt>
                <c:pt idx="8">
                  <c:v>34.43</c:v>
                </c:pt>
                <c:pt idx="9">
                  <c:v>34.47</c:v>
                </c:pt>
                <c:pt idx="10">
                  <c:v>3.61</c:v>
                </c:pt>
                <c:pt idx="11">
                  <c:v>0.01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36-41A9-90DE-15D538AB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1um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Graphs!$AC$79</c:f>
              <c:strCache>
                <c:ptCount val="1"/>
                <c:pt idx="0">
                  <c:v>0.99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Graphs!$AE$80:$AE$85</c:f>
              <c:numCache>
                <c:formatCode>General</c:formatCode>
                <c:ptCount val="6"/>
                <c:pt idx="0">
                  <c:v>0.16666527777546283</c:v>
                </c:pt>
                <c:pt idx="1">
                  <c:v>0.33333222222037034</c:v>
                </c:pt>
                <c:pt idx="2">
                  <c:v>0.49999916666527783</c:v>
                </c:pt>
                <c:pt idx="3">
                  <c:v>0.66666611111018503</c:v>
                </c:pt>
                <c:pt idx="4">
                  <c:v>0.83333305555509252</c:v>
                </c:pt>
                <c:pt idx="5">
                  <c:v>1</c:v>
                </c:pt>
              </c:numCache>
            </c:numRef>
          </c:xVal>
          <c:yVal>
            <c:numRef>
              <c:f>Graphs!$AF$80:$AF$85</c:f>
              <c:numCache>
                <c:formatCode>General</c:formatCode>
                <c:ptCount val="6"/>
                <c:pt idx="0">
                  <c:v>4.37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4.5199999999999996</c:v>
                </c:pt>
                <c:pt idx="4">
                  <c:v>4.6900000000000004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6-477F-8A50-12C36225E190}"/>
            </c:ext>
          </c:extLst>
        </c:ser>
        <c:ser>
          <c:idx val="1"/>
          <c:order val="1"/>
          <c:tx>
            <c:strRef>
              <c:f>Graphs!$AH$79</c:f>
              <c:strCache>
                <c:ptCount val="1"/>
                <c:pt idx="0">
                  <c:v>0.9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Graphs!$AJ$80:$AJ$95</c:f>
              <c:numCache>
                <c:formatCode>General</c:formatCode>
                <c:ptCount val="16"/>
                <c:pt idx="0">
                  <c:v>3.827417429316262E-2</c:v>
                </c:pt>
                <c:pt idx="1">
                  <c:v>0.10238931482713921</c:v>
                </c:pt>
                <c:pt idx="2">
                  <c:v>0.16650317305830503</c:v>
                </c:pt>
                <c:pt idx="3">
                  <c:v>0.23061831359228163</c:v>
                </c:pt>
                <c:pt idx="4">
                  <c:v>0.29473345412625812</c:v>
                </c:pt>
                <c:pt idx="5">
                  <c:v>0.35884859466023467</c:v>
                </c:pt>
                <c:pt idx="6">
                  <c:v>0.42296373519421127</c:v>
                </c:pt>
                <c:pt idx="7">
                  <c:v>0.4870788757281877</c:v>
                </c:pt>
                <c:pt idx="8">
                  <c:v>0.55119401626216435</c:v>
                </c:pt>
                <c:pt idx="9">
                  <c:v>0.61530915679614073</c:v>
                </c:pt>
                <c:pt idx="10">
                  <c:v>0.67942429733011733</c:v>
                </c:pt>
                <c:pt idx="11">
                  <c:v>0.74353943786409393</c:v>
                </c:pt>
                <c:pt idx="12">
                  <c:v>0.80765457839807053</c:v>
                </c:pt>
                <c:pt idx="13">
                  <c:v>0.87176971893204713</c:v>
                </c:pt>
                <c:pt idx="14">
                  <c:v>0.9358848594660234</c:v>
                </c:pt>
                <c:pt idx="15">
                  <c:v>1</c:v>
                </c:pt>
              </c:numCache>
            </c:numRef>
          </c:xVal>
          <c:yVal>
            <c:numRef>
              <c:f>Graphs!$AK$80:$AK$95</c:f>
              <c:numCache>
                <c:formatCode>General</c:formatCode>
                <c:ptCount val="16"/>
                <c:pt idx="0">
                  <c:v>6.05</c:v>
                </c:pt>
                <c:pt idx="1">
                  <c:v>6.76</c:v>
                </c:pt>
                <c:pt idx="2">
                  <c:v>6.94</c:v>
                </c:pt>
                <c:pt idx="3">
                  <c:v>6.84</c:v>
                </c:pt>
                <c:pt idx="4">
                  <c:v>6.56</c:v>
                </c:pt>
                <c:pt idx="5">
                  <c:v>6.5</c:v>
                </c:pt>
                <c:pt idx="6">
                  <c:v>6.49</c:v>
                </c:pt>
                <c:pt idx="7">
                  <c:v>6.8</c:v>
                </c:pt>
                <c:pt idx="8">
                  <c:v>7.04</c:v>
                </c:pt>
                <c:pt idx="9">
                  <c:v>7.27</c:v>
                </c:pt>
                <c:pt idx="10">
                  <c:v>7.3</c:v>
                </c:pt>
                <c:pt idx="11">
                  <c:v>7.02</c:v>
                </c:pt>
                <c:pt idx="12">
                  <c:v>6.89</c:v>
                </c:pt>
                <c:pt idx="13">
                  <c:v>7</c:v>
                </c:pt>
                <c:pt idx="14">
                  <c:v>7.27</c:v>
                </c:pt>
                <c:pt idx="15">
                  <c:v>7.38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D6-477F-8A50-12C36225E190}"/>
            </c:ext>
          </c:extLst>
        </c:ser>
        <c:ser>
          <c:idx val="2"/>
          <c:order val="2"/>
          <c:tx>
            <c:strRef>
              <c:f>Graphs!$AM$79</c:f>
              <c:strCache>
                <c:ptCount val="1"/>
                <c:pt idx="0">
                  <c:v>0.5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Graphs!$AO$80:$AO$92</c:f>
              <c:numCache>
                <c:formatCode>General</c:formatCode>
                <c:ptCount val="13"/>
                <c:pt idx="0">
                  <c:v>2.3212658547778972E-3</c:v>
                </c:pt>
                <c:pt idx="1">
                  <c:v>8.5461160366879715E-2</c:v>
                </c:pt>
                <c:pt idx="2">
                  <c:v>0.16860105487898164</c:v>
                </c:pt>
                <c:pt idx="3">
                  <c:v>0.25173762379530296</c:v>
                </c:pt>
                <c:pt idx="4">
                  <c:v>0.33487751830740475</c:v>
                </c:pt>
                <c:pt idx="5">
                  <c:v>0.41802073841528709</c:v>
                </c:pt>
                <c:pt idx="6">
                  <c:v>0.50116063292738899</c:v>
                </c:pt>
                <c:pt idx="7">
                  <c:v>0.58429720184371037</c:v>
                </c:pt>
                <c:pt idx="8">
                  <c:v>0.66744042195159259</c:v>
                </c:pt>
                <c:pt idx="9">
                  <c:v>0.75057699086791396</c:v>
                </c:pt>
                <c:pt idx="10">
                  <c:v>0.83372021097579618</c:v>
                </c:pt>
                <c:pt idx="11">
                  <c:v>0.91686010548789809</c:v>
                </c:pt>
                <c:pt idx="12">
                  <c:v>1</c:v>
                </c:pt>
              </c:numCache>
            </c:numRef>
          </c:xVal>
          <c:yVal>
            <c:numRef>
              <c:f>Graphs!$AP$80:$AP$92</c:f>
              <c:numCache>
                <c:formatCode>General</c:formatCode>
                <c:ptCount val="13"/>
                <c:pt idx="0">
                  <c:v>6.9</c:v>
                </c:pt>
                <c:pt idx="1">
                  <c:v>9.6199999999999992</c:v>
                </c:pt>
                <c:pt idx="2">
                  <c:v>17.39</c:v>
                </c:pt>
                <c:pt idx="3">
                  <c:v>30.77</c:v>
                </c:pt>
                <c:pt idx="4">
                  <c:v>33.630000000000003</c:v>
                </c:pt>
                <c:pt idx="5">
                  <c:v>33.46</c:v>
                </c:pt>
                <c:pt idx="6">
                  <c:v>33.39</c:v>
                </c:pt>
                <c:pt idx="7">
                  <c:v>33.119999999999997</c:v>
                </c:pt>
                <c:pt idx="8">
                  <c:v>32.93</c:v>
                </c:pt>
                <c:pt idx="9">
                  <c:v>1.52</c:v>
                </c:pt>
                <c:pt idx="10">
                  <c:v>1.83</c:v>
                </c:pt>
                <c:pt idx="11">
                  <c:v>0.15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D6-477F-8A50-12C36225E190}"/>
            </c:ext>
          </c:extLst>
        </c:ser>
        <c:ser>
          <c:idx val="3"/>
          <c:order val="3"/>
          <c:tx>
            <c:strRef>
              <c:f>Graphs!$AR$79</c:f>
              <c:strCache>
                <c:ptCount val="1"/>
                <c:pt idx="0">
                  <c:v>0.25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Graphs!$AT$80:$AT$91</c:f>
              <c:numCache>
                <c:formatCode>General</c:formatCode>
                <c:ptCount val="12"/>
                <c:pt idx="0">
                  <c:v>1.1767953393093404E-3</c:v>
                </c:pt>
                <c:pt idx="1">
                  <c:v>9.1982536938298151E-2</c:v>
                </c:pt>
                <c:pt idx="2">
                  <c:v>0.18278101436852578</c:v>
                </c:pt>
                <c:pt idx="3">
                  <c:v>0.27358312388313399</c:v>
                </c:pt>
                <c:pt idx="4">
                  <c:v>0.36438523339774231</c:v>
                </c:pt>
                <c:pt idx="5">
                  <c:v>0.45518734291235047</c:v>
                </c:pt>
                <c:pt idx="6">
                  <c:v>0.54598945242695884</c:v>
                </c:pt>
                <c:pt idx="7">
                  <c:v>0.63679156194156716</c:v>
                </c:pt>
                <c:pt idx="8">
                  <c:v>0.72759367145617526</c:v>
                </c:pt>
                <c:pt idx="9">
                  <c:v>0.81839578097078358</c:v>
                </c:pt>
                <c:pt idx="10">
                  <c:v>0.90919789048539168</c:v>
                </c:pt>
                <c:pt idx="11">
                  <c:v>1</c:v>
                </c:pt>
              </c:numCache>
            </c:numRef>
          </c:xVal>
          <c:yVal>
            <c:numRef>
              <c:f>Graphs!$AU$80:$AU$91</c:f>
              <c:numCache>
                <c:formatCode>General</c:formatCode>
                <c:ptCount val="12"/>
                <c:pt idx="0">
                  <c:v>7.38</c:v>
                </c:pt>
                <c:pt idx="1">
                  <c:v>10.99</c:v>
                </c:pt>
                <c:pt idx="2">
                  <c:v>18.39</c:v>
                </c:pt>
                <c:pt idx="3">
                  <c:v>34.08</c:v>
                </c:pt>
                <c:pt idx="4">
                  <c:v>35.44</c:v>
                </c:pt>
                <c:pt idx="5">
                  <c:v>34.15</c:v>
                </c:pt>
                <c:pt idx="6">
                  <c:v>34</c:v>
                </c:pt>
                <c:pt idx="7">
                  <c:v>34.01</c:v>
                </c:pt>
                <c:pt idx="8">
                  <c:v>29.89</c:v>
                </c:pt>
                <c:pt idx="9">
                  <c:v>3.49</c:v>
                </c:pt>
                <c:pt idx="10">
                  <c:v>0.02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D6-477F-8A50-12C36225E190}"/>
            </c:ext>
          </c:extLst>
        </c:ser>
        <c:ser>
          <c:idx val="4"/>
          <c:order val="4"/>
          <c:tx>
            <c:strRef>
              <c:f>Graphs!$AW$79</c:f>
              <c:strCache>
                <c:ptCount val="1"/>
                <c:pt idx="0">
                  <c:v>0.1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Graphs!$AY$80:$AY$84</c:f>
              <c:numCache>
                <c:formatCode>General</c:formatCode>
                <c:ptCount val="5"/>
                <c:pt idx="0">
                  <c:v>9.0297108964212211E-2</c:v>
                </c:pt>
                <c:pt idx="1">
                  <c:v>0.31772283172315924</c:v>
                </c:pt>
                <c:pt idx="2">
                  <c:v>0.5451485544821062</c:v>
                </c:pt>
                <c:pt idx="3">
                  <c:v>0.7725742772410531</c:v>
                </c:pt>
                <c:pt idx="4">
                  <c:v>1</c:v>
                </c:pt>
              </c:numCache>
            </c:numRef>
          </c:xVal>
          <c:yVal>
            <c:numRef>
              <c:f>Graphs!$AZ$80:$AZ$84</c:f>
              <c:numCache>
                <c:formatCode>General</c:formatCode>
                <c:ptCount val="5"/>
                <c:pt idx="0">
                  <c:v>14.85</c:v>
                </c:pt>
                <c:pt idx="1">
                  <c:v>76.66</c:v>
                </c:pt>
                <c:pt idx="2">
                  <c:v>105.18</c:v>
                </c:pt>
                <c:pt idx="3">
                  <c:v>10.7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D6-477F-8A50-12C36225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Src!$B$6</c:f>
              <c:strCache>
                <c:ptCount val="1"/>
                <c:pt idx="0">
                  <c:v>300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Src!$A$8:$A$108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Src!$C$8:$C$108</c:f>
              <c:numCache>
                <c:formatCode>0.00E+00</c:formatCode>
                <c:ptCount val="101"/>
                <c:pt idx="0">
                  <c:v>178908369.83514243</c:v>
                </c:pt>
                <c:pt idx="1">
                  <c:v>177119286.13679102</c:v>
                </c:pt>
                <c:pt idx="2">
                  <c:v>175330202.43843964</c:v>
                </c:pt>
                <c:pt idx="3">
                  <c:v>173541118.74008819</c:v>
                </c:pt>
                <c:pt idx="4">
                  <c:v>171752035.04173678</c:v>
                </c:pt>
                <c:pt idx="5">
                  <c:v>169962951.34338534</c:v>
                </c:pt>
                <c:pt idx="6">
                  <c:v>168173867.64503393</c:v>
                </c:pt>
                <c:pt idx="7">
                  <c:v>166384783.94668248</c:v>
                </c:pt>
                <c:pt idx="8">
                  <c:v>164595700.24833107</c:v>
                </c:pt>
                <c:pt idx="9">
                  <c:v>162806616.54997963</c:v>
                </c:pt>
                <c:pt idx="10">
                  <c:v>161017532.85162821</c:v>
                </c:pt>
                <c:pt idx="11">
                  <c:v>159228449.15327677</c:v>
                </c:pt>
                <c:pt idx="12">
                  <c:v>157439365.45492536</c:v>
                </c:pt>
                <c:pt idx="13">
                  <c:v>155650281.75657395</c:v>
                </c:pt>
                <c:pt idx="14">
                  <c:v>153861198.05822253</c:v>
                </c:pt>
                <c:pt idx="15">
                  <c:v>152072114.35987109</c:v>
                </c:pt>
                <c:pt idx="16">
                  <c:v>150283030.66151968</c:v>
                </c:pt>
                <c:pt idx="17">
                  <c:v>148493946.96316823</c:v>
                </c:pt>
                <c:pt idx="18">
                  <c:v>146704863.26481685</c:v>
                </c:pt>
                <c:pt idx="19">
                  <c:v>144915779.56646544</c:v>
                </c:pt>
                <c:pt idx="20">
                  <c:v>143126695.86811396</c:v>
                </c:pt>
                <c:pt idx="21">
                  <c:v>141337612.16976252</c:v>
                </c:pt>
                <c:pt idx="22">
                  <c:v>139548528.47141111</c:v>
                </c:pt>
                <c:pt idx="23">
                  <c:v>137759444.77305973</c:v>
                </c:pt>
                <c:pt idx="24">
                  <c:v>135970361.07470828</c:v>
                </c:pt>
                <c:pt idx="25">
                  <c:v>134181277.37635686</c:v>
                </c:pt>
                <c:pt idx="26">
                  <c:v>132392193.67800543</c:v>
                </c:pt>
                <c:pt idx="27">
                  <c:v>130603109.97965401</c:v>
                </c:pt>
                <c:pt idx="28">
                  <c:v>128814026.28130257</c:v>
                </c:pt>
                <c:pt idx="29">
                  <c:v>127024942.58295116</c:v>
                </c:pt>
                <c:pt idx="30">
                  <c:v>125235858.88459972</c:v>
                </c:pt>
                <c:pt idx="31">
                  <c:v>123446775.18624827</c:v>
                </c:pt>
                <c:pt idx="32">
                  <c:v>121657691.48789686</c:v>
                </c:pt>
                <c:pt idx="33">
                  <c:v>119868607.78954545</c:v>
                </c:pt>
                <c:pt idx="34">
                  <c:v>118079524.091194</c:v>
                </c:pt>
                <c:pt idx="35">
                  <c:v>116290440.39284259</c:v>
                </c:pt>
                <c:pt idx="36">
                  <c:v>114501356.69449118</c:v>
                </c:pt>
                <c:pt idx="37">
                  <c:v>112712272.99613975</c:v>
                </c:pt>
                <c:pt idx="38">
                  <c:v>110923189.29778832</c:v>
                </c:pt>
                <c:pt idx="39">
                  <c:v>109134105.59943691</c:v>
                </c:pt>
                <c:pt idx="40">
                  <c:v>107345021.90108547</c:v>
                </c:pt>
                <c:pt idx="41">
                  <c:v>105555938.20273407</c:v>
                </c:pt>
                <c:pt idx="42">
                  <c:v>103766854.50438266</c:v>
                </c:pt>
                <c:pt idx="43">
                  <c:v>101977770.80603121</c:v>
                </c:pt>
                <c:pt idx="44">
                  <c:v>100188687.1076798</c:v>
                </c:pt>
                <c:pt idx="45">
                  <c:v>98399603.409328356</c:v>
                </c:pt>
                <c:pt idx="46">
                  <c:v>96610519.710976928</c:v>
                </c:pt>
                <c:pt idx="47">
                  <c:v>94821436.012625501</c:v>
                </c:pt>
                <c:pt idx="48">
                  <c:v>93032352.314274073</c:v>
                </c:pt>
                <c:pt idx="49">
                  <c:v>91243268.615922645</c:v>
                </c:pt>
                <c:pt idx="50">
                  <c:v>89454184.917571217</c:v>
                </c:pt>
                <c:pt idx="51">
                  <c:v>87665101.219219819</c:v>
                </c:pt>
                <c:pt idx="52">
                  <c:v>85876017.520868391</c:v>
                </c:pt>
                <c:pt idx="53">
                  <c:v>84086933.822516963</c:v>
                </c:pt>
                <c:pt idx="54">
                  <c:v>82297850.124165535</c:v>
                </c:pt>
                <c:pt idx="55">
                  <c:v>80508766.425814107</c:v>
                </c:pt>
                <c:pt idx="56">
                  <c:v>78719682.727462664</c:v>
                </c:pt>
                <c:pt idx="57">
                  <c:v>76930599.029111281</c:v>
                </c:pt>
                <c:pt idx="58">
                  <c:v>75141515.330759838</c:v>
                </c:pt>
                <c:pt idx="59">
                  <c:v>73352431.632408425</c:v>
                </c:pt>
                <c:pt idx="60">
                  <c:v>71563347.934056982</c:v>
                </c:pt>
                <c:pt idx="61">
                  <c:v>69774264.235705554</c:v>
                </c:pt>
                <c:pt idx="62">
                  <c:v>67985180.537354141</c:v>
                </c:pt>
                <c:pt idx="63">
                  <c:v>66196096.839002714</c:v>
                </c:pt>
                <c:pt idx="64">
                  <c:v>64407013.140651286</c:v>
                </c:pt>
                <c:pt idx="65">
                  <c:v>62617929.442299858</c:v>
                </c:pt>
                <c:pt idx="66">
                  <c:v>60828845.74394843</c:v>
                </c:pt>
                <c:pt idx="67">
                  <c:v>59039762.045597002</c:v>
                </c:pt>
                <c:pt idx="68">
                  <c:v>57250678.347245574</c:v>
                </c:pt>
                <c:pt idx="69">
                  <c:v>55461594.648894168</c:v>
                </c:pt>
                <c:pt idx="70">
                  <c:v>53672510.950542755</c:v>
                </c:pt>
                <c:pt idx="71">
                  <c:v>51883427.252191328</c:v>
                </c:pt>
                <c:pt idx="72">
                  <c:v>50094343.5538399</c:v>
                </c:pt>
                <c:pt idx="73">
                  <c:v>48305259.855488464</c:v>
                </c:pt>
                <c:pt idx="74">
                  <c:v>46516176.157137036</c:v>
                </c:pt>
                <c:pt idx="75">
                  <c:v>44727092.458785608</c:v>
                </c:pt>
                <c:pt idx="76">
                  <c:v>42938008.760434195</c:v>
                </c:pt>
                <c:pt idx="77">
                  <c:v>41148925.062082767</c:v>
                </c:pt>
                <c:pt idx="78">
                  <c:v>39359841.363731332</c:v>
                </c:pt>
                <c:pt idx="79">
                  <c:v>37570757.665379912</c:v>
                </c:pt>
                <c:pt idx="80">
                  <c:v>35781673.967028484</c:v>
                </c:pt>
                <c:pt idx="81">
                  <c:v>33992590.268677056</c:v>
                </c:pt>
                <c:pt idx="82">
                  <c:v>32203506.570325654</c:v>
                </c:pt>
                <c:pt idx="83">
                  <c:v>30414422.871974226</c:v>
                </c:pt>
                <c:pt idx="84">
                  <c:v>28625339.173622798</c:v>
                </c:pt>
                <c:pt idx="85">
                  <c:v>26836255.475271378</c:v>
                </c:pt>
                <c:pt idx="86">
                  <c:v>25047171.77691995</c:v>
                </c:pt>
                <c:pt idx="87">
                  <c:v>23258088.078568518</c:v>
                </c:pt>
                <c:pt idx="88">
                  <c:v>21469004.380217098</c:v>
                </c:pt>
                <c:pt idx="89">
                  <c:v>19679920.681865666</c:v>
                </c:pt>
                <c:pt idx="90">
                  <c:v>17890836.983514242</c:v>
                </c:pt>
                <c:pt idx="91">
                  <c:v>16101753.285162816</c:v>
                </c:pt>
                <c:pt idx="92">
                  <c:v>14312669.586811392</c:v>
                </c:pt>
                <c:pt idx="93">
                  <c:v>12523585.888459964</c:v>
                </c:pt>
                <c:pt idx="94">
                  <c:v>10734502.190108556</c:v>
                </c:pt>
                <c:pt idx="95">
                  <c:v>8945418.4917571303</c:v>
                </c:pt>
                <c:pt idx="96">
                  <c:v>7156334.7934057051</c:v>
                </c:pt>
                <c:pt idx="97">
                  <c:v>5367251.0950542782</c:v>
                </c:pt>
                <c:pt idx="98">
                  <c:v>3578167.3967028526</c:v>
                </c:pt>
                <c:pt idx="99">
                  <c:v>1789083.6983514263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F1-4407-B714-670434925A74}"/>
            </c:ext>
          </c:extLst>
        </c:ser>
        <c:ser>
          <c:idx val="1"/>
          <c:order val="1"/>
          <c:tx>
            <c:strRef>
              <c:f>Src!$F$6</c:f>
              <c:strCache>
                <c:ptCount val="1"/>
                <c:pt idx="0">
                  <c:v>400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Src!$E$8:$E$108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Src!$G$8:$G$108</c:f>
              <c:numCache>
                <c:formatCode>0.00E+00</c:formatCode>
                <c:ptCount val="101"/>
                <c:pt idx="0">
                  <c:v>21983241015.247272</c:v>
                </c:pt>
                <c:pt idx="1">
                  <c:v>21763408605.094795</c:v>
                </c:pt>
                <c:pt idx="2">
                  <c:v>21543576194.942326</c:v>
                </c:pt>
                <c:pt idx="3">
                  <c:v>21323743784.789852</c:v>
                </c:pt>
                <c:pt idx="4">
                  <c:v>21103911374.637379</c:v>
                </c:pt>
                <c:pt idx="5">
                  <c:v>20884078964.484905</c:v>
                </c:pt>
                <c:pt idx="6">
                  <c:v>20664246554.332432</c:v>
                </c:pt>
                <c:pt idx="7">
                  <c:v>20444414144.179958</c:v>
                </c:pt>
                <c:pt idx="8">
                  <c:v>20224581734.027489</c:v>
                </c:pt>
                <c:pt idx="9">
                  <c:v>20004749323.875015</c:v>
                </c:pt>
                <c:pt idx="10">
                  <c:v>19784916913.722542</c:v>
                </c:pt>
                <c:pt idx="11">
                  <c:v>19565084503.570068</c:v>
                </c:pt>
                <c:pt idx="12">
                  <c:v>19345252093.417595</c:v>
                </c:pt>
                <c:pt idx="13">
                  <c:v>19125419683.265125</c:v>
                </c:pt>
                <c:pt idx="14">
                  <c:v>18905587273.112648</c:v>
                </c:pt>
                <c:pt idx="15">
                  <c:v>18685754862.960178</c:v>
                </c:pt>
                <c:pt idx="16">
                  <c:v>18465922452.807709</c:v>
                </c:pt>
                <c:pt idx="17">
                  <c:v>18246090042.655235</c:v>
                </c:pt>
                <c:pt idx="18">
                  <c:v>18026257632.502762</c:v>
                </c:pt>
                <c:pt idx="19">
                  <c:v>17806425222.350288</c:v>
                </c:pt>
                <c:pt idx="20">
                  <c:v>17586592812.197815</c:v>
                </c:pt>
                <c:pt idx="21">
                  <c:v>17366760402.045341</c:v>
                </c:pt>
                <c:pt idx="22">
                  <c:v>17146927991.89287</c:v>
                </c:pt>
                <c:pt idx="23">
                  <c:v>16927095581.740396</c:v>
                </c:pt>
                <c:pt idx="24">
                  <c:v>16707263171.587925</c:v>
                </c:pt>
                <c:pt idx="25">
                  <c:v>16487430761.43545</c:v>
                </c:pt>
                <c:pt idx="26">
                  <c:v>16267598351.282982</c:v>
                </c:pt>
                <c:pt idx="27">
                  <c:v>16047765941.130507</c:v>
                </c:pt>
                <c:pt idx="28">
                  <c:v>15827933530.978035</c:v>
                </c:pt>
                <c:pt idx="29">
                  <c:v>15608101120.825562</c:v>
                </c:pt>
                <c:pt idx="30">
                  <c:v>15388268710.67309</c:v>
                </c:pt>
                <c:pt idx="31">
                  <c:v>15168436300.520615</c:v>
                </c:pt>
                <c:pt idx="32">
                  <c:v>14948603890.368141</c:v>
                </c:pt>
                <c:pt idx="33">
                  <c:v>14728771480.215668</c:v>
                </c:pt>
                <c:pt idx="34">
                  <c:v>14508939070.063194</c:v>
                </c:pt>
                <c:pt idx="35">
                  <c:v>14289106659.910725</c:v>
                </c:pt>
                <c:pt idx="36">
                  <c:v>14069274249.758253</c:v>
                </c:pt>
                <c:pt idx="37">
                  <c:v>13849441839.60578</c:v>
                </c:pt>
                <c:pt idx="38">
                  <c:v>13629609429.453308</c:v>
                </c:pt>
                <c:pt idx="39">
                  <c:v>13409777019.300833</c:v>
                </c:pt>
                <c:pt idx="40">
                  <c:v>13189944609.148361</c:v>
                </c:pt>
                <c:pt idx="41">
                  <c:v>12970112198.995893</c:v>
                </c:pt>
                <c:pt idx="42">
                  <c:v>12750279788.843418</c:v>
                </c:pt>
                <c:pt idx="43">
                  <c:v>12530447378.690945</c:v>
                </c:pt>
                <c:pt idx="44">
                  <c:v>12310614968.538473</c:v>
                </c:pt>
                <c:pt idx="45">
                  <c:v>12090782558.385998</c:v>
                </c:pt>
                <c:pt idx="46">
                  <c:v>11870950148.233524</c:v>
                </c:pt>
                <c:pt idx="47">
                  <c:v>11651117738.081053</c:v>
                </c:pt>
                <c:pt idx="48">
                  <c:v>11431285327.928579</c:v>
                </c:pt>
                <c:pt idx="49">
                  <c:v>11211452917.776106</c:v>
                </c:pt>
                <c:pt idx="50">
                  <c:v>10991620507.623636</c:v>
                </c:pt>
                <c:pt idx="51">
                  <c:v>10771788097.471163</c:v>
                </c:pt>
                <c:pt idx="52">
                  <c:v>10551955687.318689</c:v>
                </c:pt>
                <c:pt idx="53">
                  <c:v>10332123277.166216</c:v>
                </c:pt>
                <c:pt idx="54">
                  <c:v>10112290867.013744</c:v>
                </c:pt>
                <c:pt idx="55">
                  <c:v>9892458456.8612709</c:v>
                </c:pt>
                <c:pt idx="56">
                  <c:v>9672626046.7087955</c:v>
                </c:pt>
                <c:pt idx="57">
                  <c:v>9452793636.5563278</c:v>
                </c:pt>
                <c:pt idx="58">
                  <c:v>9232961226.4038544</c:v>
                </c:pt>
                <c:pt idx="59">
                  <c:v>9013128816.2513809</c:v>
                </c:pt>
                <c:pt idx="60">
                  <c:v>8793296406.0989075</c:v>
                </c:pt>
                <c:pt idx="61">
                  <c:v>8573463995.946435</c:v>
                </c:pt>
                <c:pt idx="62">
                  <c:v>8353631585.7939625</c:v>
                </c:pt>
                <c:pt idx="63">
                  <c:v>8133799175.6414909</c:v>
                </c:pt>
                <c:pt idx="64">
                  <c:v>7913966765.4890175</c:v>
                </c:pt>
                <c:pt idx="65">
                  <c:v>7694134355.336545</c:v>
                </c:pt>
                <c:pt idx="66">
                  <c:v>7474301945.1840706</c:v>
                </c:pt>
                <c:pt idx="67">
                  <c:v>7254469535.0315971</c:v>
                </c:pt>
                <c:pt idx="68">
                  <c:v>7034637124.8791256</c:v>
                </c:pt>
                <c:pt idx="69">
                  <c:v>6814804714.7266541</c:v>
                </c:pt>
                <c:pt idx="70">
                  <c:v>6594972304.5741806</c:v>
                </c:pt>
                <c:pt idx="71">
                  <c:v>6375139894.4217091</c:v>
                </c:pt>
                <c:pt idx="72">
                  <c:v>6155307484.2692366</c:v>
                </c:pt>
                <c:pt idx="73">
                  <c:v>5935475074.1167622</c:v>
                </c:pt>
                <c:pt idx="74">
                  <c:v>5715642663.9642897</c:v>
                </c:pt>
                <c:pt idx="75">
                  <c:v>5495810253.8118181</c:v>
                </c:pt>
                <c:pt idx="76">
                  <c:v>5275977843.6593447</c:v>
                </c:pt>
                <c:pt idx="77">
                  <c:v>5056145433.5068722</c:v>
                </c:pt>
                <c:pt idx="78">
                  <c:v>4836313023.3543978</c:v>
                </c:pt>
                <c:pt idx="79">
                  <c:v>4616480613.2019262</c:v>
                </c:pt>
                <c:pt idx="80">
                  <c:v>4396648203.0494528</c:v>
                </c:pt>
                <c:pt idx="81">
                  <c:v>4176815792.8969803</c:v>
                </c:pt>
                <c:pt idx="82">
                  <c:v>3956983382.7445097</c:v>
                </c:pt>
                <c:pt idx="83">
                  <c:v>3737150972.5920372</c:v>
                </c:pt>
                <c:pt idx="84">
                  <c:v>3517318562.4395633</c:v>
                </c:pt>
                <c:pt idx="85">
                  <c:v>3297486152.2870903</c:v>
                </c:pt>
                <c:pt idx="86">
                  <c:v>3077653742.1346183</c:v>
                </c:pt>
                <c:pt idx="87">
                  <c:v>2857821331.9821448</c:v>
                </c:pt>
                <c:pt idx="88">
                  <c:v>2637988921.8296723</c:v>
                </c:pt>
                <c:pt idx="89">
                  <c:v>2418156511.6771989</c:v>
                </c:pt>
                <c:pt idx="90">
                  <c:v>2198324101.5247264</c:v>
                </c:pt>
                <c:pt idx="91">
                  <c:v>1978491691.3722534</c:v>
                </c:pt>
                <c:pt idx="92">
                  <c:v>1758659281.2197807</c:v>
                </c:pt>
                <c:pt idx="93">
                  <c:v>1538826871.0673077</c:v>
                </c:pt>
                <c:pt idx="94">
                  <c:v>1318994460.9148371</c:v>
                </c:pt>
                <c:pt idx="95">
                  <c:v>1099162050.7623644</c:v>
                </c:pt>
                <c:pt idx="96">
                  <c:v>879329640.60989153</c:v>
                </c:pt>
                <c:pt idx="97">
                  <c:v>659497230.45741856</c:v>
                </c:pt>
                <c:pt idx="98">
                  <c:v>439664820.30494577</c:v>
                </c:pt>
                <c:pt idx="99">
                  <c:v>219832410.15247288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5F1-4407-B714-670434925A74}"/>
            </c:ext>
          </c:extLst>
        </c:ser>
        <c:ser>
          <c:idx val="2"/>
          <c:order val="2"/>
          <c:tx>
            <c:strRef>
              <c:f>Src!$J$6</c:f>
              <c:strCache>
                <c:ptCount val="1"/>
                <c:pt idx="0">
                  <c:v>450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Src!$I$8:$I$108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Src!$K$8:$K$108</c:f>
              <c:numCache>
                <c:formatCode>0.00E+00</c:formatCode>
                <c:ptCount val="101"/>
                <c:pt idx="0">
                  <c:v>109289576305.97185</c:v>
                </c:pt>
                <c:pt idx="1">
                  <c:v>108196680542.91214</c:v>
                </c:pt>
                <c:pt idx="2">
                  <c:v>107103784779.85242</c:v>
                </c:pt>
                <c:pt idx="3">
                  <c:v>106010889016.79271</c:v>
                </c:pt>
                <c:pt idx="4">
                  <c:v>104917993253.73299</c:v>
                </c:pt>
                <c:pt idx="5">
                  <c:v>103825097490.67328</c:v>
                </c:pt>
                <c:pt idx="6">
                  <c:v>102732201727.61354</c:v>
                </c:pt>
                <c:pt idx="7">
                  <c:v>101639305964.55382</c:v>
                </c:pt>
                <c:pt idx="8">
                  <c:v>100546410201.49409</c:v>
                </c:pt>
                <c:pt idx="9">
                  <c:v>99453514438.434387</c:v>
                </c:pt>
                <c:pt idx="10">
                  <c:v>98360618675.374664</c:v>
                </c:pt>
                <c:pt idx="11">
                  <c:v>97267722912.314957</c:v>
                </c:pt>
                <c:pt idx="12">
                  <c:v>96174827149.255219</c:v>
                </c:pt>
                <c:pt idx="13">
                  <c:v>95081931386.195511</c:v>
                </c:pt>
                <c:pt idx="14">
                  <c:v>93989035623.135788</c:v>
                </c:pt>
                <c:pt idx="15">
                  <c:v>92896139860.07608</c:v>
                </c:pt>
                <c:pt idx="16">
                  <c:v>91803244097.016342</c:v>
                </c:pt>
                <c:pt idx="17">
                  <c:v>90710348333.956635</c:v>
                </c:pt>
                <c:pt idx="18">
                  <c:v>89617452570.896927</c:v>
                </c:pt>
                <c:pt idx="19">
                  <c:v>88524556807.837204</c:v>
                </c:pt>
                <c:pt idx="20">
                  <c:v>87431661044.777496</c:v>
                </c:pt>
                <c:pt idx="21">
                  <c:v>86338765281.717773</c:v>
                </c:pt>
                <c:pt idx="22">
                  <c:v>85245869518.658051</c:v>
                </c:pt>
                <c:pt idx="23">
                  <c:v>84152973755.598328</c:v>
                </c:pt>
                <c:pt idx="24">
                  <c:v>83060077992.538605</c:v>
                </c:pt>
                <c:pt idx="25">
                  <c:v>81967182229.478897</c:v>
                </c:pt>
                <c:pt idx="26">
                  <c:v>80874286466.419174</c:v>
                </c:pt>
                <c:pt idx="27">
                  <c:v>79781390703.359451</c:v>
                </c:pt>
                <c:pt idx="28">
                  <c:v>78688494940.299728</c:v>
                </c:pt>
                <c:pt idx="29">
                  <c:v>77595599177.240021</c:v>
                </c:pt>
                <c:pt idx="30">
                  <c:v>76502703414.180283</c:v>
                </c:pt>
                <c:pt idx="31">
                  <c:v>75409807651.12056</c:v>
                </c:pt>
                <c:pt idx="32">
                  <c:v>74316911888.060852</c:v>
                </c:pt>
                <c:pt idx="33">
                  <c:v>73224016125.001144</c:v>
                </c:pt>
                <c:pt idx="34">
                  <c:v>72131120361.941406</c:v>
                </c:pt>
                <c:pt idx="35">
                  <c:v>71038224598.881699</c:v>
                </c:pt>
                <c:pt idx="36">
                  <c:v>69945328835.821976</c:v>
                </c:pt>
                <c:pt idx="37">
                  <c:v>68852433072.762268</c:v>
                </c:pt>
                <c:pt idx="38">
                  <c:v>67759537309.702553</c:v>
                </c:pt>
                <c:pt idx="39">
                  <c:v>66666641546.64283</c:v>
                </c:pt>
                <c:pt idx="40">
                  <c:v>65573745783.583115</c:v>
                </c:pt>
                <c:pt idx="41">
                  <c:v>64480850020.523407</c:v>
                </c:pt>
                <c:pt idx="42">
                  <c:v>63387954257.463692</c:v>
                </c:pt>
                <c:pt idx="43">
                  <c:v>62295058494.403961</c:v>
                </c:pt>
                <c:pt idx="44">
                  <c:v>61202162731.344246</c:v>
                </c:pt>
                <c:pt idx="45">
                  <c:v>60109266968.284515</c:v>
                </c:pt>
                <c:pt idx="46">
                  <c:v>59016371205.2248</c:v>
                </c:pt>
                <c:pt idx="47">
                  <c:v>57923475442.165085</c:v>
                </c:pt>
                <c:pt idx="48">
                  <c:v>56830579679.105354</c:v>
                </c:pt>
                <c:pt idx="49">
                  <c:v>55737683916.045639</c:v>
                </c:pt>
                <c:pt idx="50">
                  <c:v>54644788152.985924</c:v>
                </c:pt>
                <c:pt idx="51">
                  <c:v>53551892389.926208</c:v>
                </c:pt>
                <c:pt idx="52">
                  <c:v>52458996626.866493</c:v>
                </c:pt>
                <c:pt idx="53">
                  <c:v>51366100863.80677</c:v>
                </c:pt>
                <c:pt idx="54">
                  <c:v>50273205100.747047</c:v>
                </c:pt>
                <c:pt idx="55">
                  <c:v>49180309337.687332</c:v>
                </c:pt>
                <c:pt idx="56">
                  <c:v>48087413574.627609</c:v>
                </c:pt>
                <c:pt idx="57">
                  <c:v>46994517811.567909</c:v>
                </c:pt>
                <c:pt idx="58">
                  <c:v>45901622048.508186</c:v>
                </c:pt>
                <c:pt idx="59">
                  <c:v>44808726285.448463</c:v>
                </c:pt>
                <c:pt idx="60">
                  <c:v>43715830522.388748</c:v>
                </c:pt>
                <c:pt idx="61">
                  <c:v>42622934759.329025</c:v>
                </c:pt>
                <c:pt idx="62">
                  <c:v>41530038996.269302</c:v>
                </c:pt>
                <c:pt idx="63">
                  <c:v>40437143233.209587</c:v>
                </c:pt>
                <c:pt idx="64">
                  <c:v>39344247470.149864</c:v>
                </c:pt>
                <c:pt idx="65">
                  <c:v>38251351707.090141</c:v>
                </c:pt>
                <c:pt idx="66">
                  <c:v>37158455944.030426</c:v>
                </c:pt>
                <c:pt idx="67">
                  <c:v>36065560180.970703</c:v>
                </c:pt>
                <c:pt idx="68">
                  <c:v>34972664417.910988</c:v>
                </c:pt>
                <c:pt idx="69">
                  <c:v>33879768654.851276</c:v>
                </c:pt>
                <c:pt idx="70">
                  <c:v>32786872891.791561</c:v>
                </c:pt>
                <c:pt idx="71">
                  <c:v>31693977128.731846</c:v>
                </c:pt>
                <c:pt idx="72">
                  <c:v>30601081365.672123</c:v>
                </c:pt>
                <c:pt idx="73">
                  <c:v>29508185602.6124</c:v>
                </c:pt>
                <c:pt idx="74">
                  <c:v>28415289839.552677</c:v>
                </c:pt>
                <c:pt idx="75">
                  <c:v>27322394076.492962</c:v>
                </c:pt>
                <c:pt idx="76">
                  <c:v>26229498313.433247</c:v>
                </c:pt>
                <c:pt idx="77">
                  <c:v>25136602550.373524</c:v>
                </c:pt>
                <c:pt idx="78">
                  <c:v>24043706787.313805</c:v>
                </c:pt>
                <c:pt idx="79">
                  <c:v>22950811024.254086</c:v>
                </c:pt>
                <c:pt idx="80">
                  <c:v>21857915261.194363</c:v>
                </c:pt>
                <c:pt idx="81">
                  <c:v>20765019498.134644</c:v>
                </c:pt>
                <c:pt idx="82">
                  <c:v>19672123735.074936</c:v>
                </c:pt>
                <c:pt idx="83">
                  <c:v>18579227972.015221</c:v>
                </c:pt>
                <c:pt idx="84">
                  <c:v>17486332208.955498</c:v>
                </c:pt>
                <c:pt idx="85">
                  <c:v>16393436445.895781</c:v>
                </c:pt>
                <c:pt idx="86">
                  <c:v>15300540682.836061</c:v>
                </c:pt>
                <c:pt idx="87">
                  <c:v>14207644919.776339</c:v>
                </c:pt>
                <c:pt idx="88">
                  <c:v>13114749156.716623</c:v>
                </c:pt>
                <c:pt idx="89">
                  <c:v>12021853393.656902</c:v>
                </c:pt>
                <c:pt idx="90">
                  <c:v>10928957630.597181</c:v>
                </c:pt>
                <c:pt idx="91">
                  <c:v>9836061867.5374622</c:v>
                </c:pt>
                <c:pt idx="92">
                  <c:v>8743166104.4777431</c:v>
                </c:pt>
                <c:pt idx="93">
                  <c:v>7650270341.4180241</c:v>
                </c:pt>
                <c:pt idx="94">
                  <c:v>6557374578.3583155</c:v>
                </c:pt>
                <c:pt idx="95">
                  <c:v>5464478815.2985964</c:v>
                </c:pt>
                <c:pt idx="96">
                  <c:v>4371583052.2388783</c:v>
                </c:pt>
                <c:pt idx="97">
                  <c:v>3278687289.1791577</c:v>
                </c:pt>
                <c:pt idx="98">
                  <c:v>2185791526.1194391</c:v>
                </c:pt>
                <c:pt idx="99">
                  <c:v>1092895763.0597196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F1-4407-B714-670434925A74}"/>
            </c:ext>
          </c:extLst>
        </c:ser>
        <c:ser>
          <c:idx val="3"/>
          <c:order val="3"/>
          <c:tx>
            <c:strRef>
              <c:f>Src!$N$6</c:f>
              <c:strCache>
                <c:ptCount val="1"/>
                <c:pt idx="0">
                  <c:v>500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Src!$M$8:$M$108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Src!$O$8:$O$108</c:f>
              <c:numCache>
                <c:formatCode>0.00E+00</c:formatCode>
                <c:ptCount val="101"/>
                <c:pt idx="0">
                  <c:v>394246965289.60181</c:v>
                </c:pt>
                <c:pt idx="1">
                  <c:v>390304495636.70581</c:v>
                </c:pt>
                <c:pt idx="2">
                  <c:v>386362025983.80981</c:v>
                </c:pt>
                <c:pt idx="3">
                  <c:v>382419556330.91382</c:v>
                </c:pt>
                <c:pt idx="4">
                  <c:v>378477086678.01782</c:v>
                </c:pt>
                <c:pt idx="5">
                  <c:v>374534617025.12177</c:v>
                </c:pt>
                <c:pt idx="6">
                  <c:v>370592147372.22577</c:v>
                </c:pt>
                <c:pt idx="7">
                  <c:v>366649677719.32971</c:v>
                </c:pt>
                <c:pt idx="8">
                  <c:v>362707208066.43365</c:v>
                </c:pt>
                <c:pt idx="9">
                  <c:v>358764738413.53766</c:v>
                </c:pt>
                <c:pt idx="10">
                  <c:v>354822268760.64166</c:v>
                </c:pt>
                <c:pt idx="11">
                  <c:v>350879799107.74561</c:v>
                </c:pt>
                <c:pt idx="12">
                  <c:v>346937329454.84961</c:v>
                </c:pt>
                <c:pt idx="13">
                  <c:v>342994859801.95361</c:v>
                </c:pt>
                <c:pt idx="14">
                  <c:v>339052390149.05762</c:v>
                </c:pt>
                <c:pt idx="15">
                  <c:v>335109920496.16162</c:v>
                </c:pt>
                <c:pt idx="16">
                  <c:v>331167450843.2655</c:v>
                </c:pt>
                <c:pt idx="17">
                  <c:v>327224981190.36951</c:v>
                </c:pt>
                <c:pt idx="18">
                  <c:v>323282511537.47357</c:v>
                </c:pt>
                <c:pt idx="19">
                  <c:v>319340041884.57751</c:v>
                </c:pt>
                <c:pt idx="20">
                  <c:v>315397572231.68146</c:v>
                </c:pt>
                <c:pt idx="21">
                  <c:v>311455102578.78546</c:v>
                </c:pt>
                <c:pt idx="22">
                  <c:v>307512632925.88947</c:v>
                </c:pt>
                <c:pt idx="23">
                  <c:v>303570163272.99341</c:v>
                </c:pt>
                <c:pt idx="24">
                  <c:v>299627693620.09741</c:v>
                </c:pt>
                <c:pt idx="25">
                  <c:v>295685223967.20135</c:v>
                </c:pt>
                <c:pt idx="26">
                  <c:v>291742754314.30536</c:v>
                </c:pt>
                <c:pt idx="27">
                  <c:v>287800284661.4093</c:v>
                </c:pt>
                <c:pt idx="28">
                  <c:v>283857815008.51331</c:v>
                </c:pt>
                <c:pt idx="29">
                  <c:v>279915345355.61731</c:v>
                </c:pt>
                <c:pt idx="30">
                  <c:v>275972875702.72131</c:v>
                </c:pt>
                <c:pt idx="31">
                  <c:v>272030406049.8252</c:v>
                </c:pt>
                <c:pt idx="32">
                  <c:v>268087936396.92923</c:v>
                </c:pt>
                <c:pt idx="33">
                  <c:v>264145466744.0332</c:v>
                </c:pt>
                <c:pt idx="34">
                  <c:v>260202997091.13721</c:v>
                </c:pt>
                <c:pt idx="35">
                  <c:v>256260527438.24124</c:v>
                </c:pt>
                <c:pt idx="36">
                  <c:v>252318057785.34515</c:v>
                </c:pt>
                <c:pt idx="37">
                  <c:v>248375588132.44916</c:v>
                </c:pt>
                <c:pt idx="38">
                  <c:v>244433118479.55313</c:v>
                </c:pt>
                <c:pt idx="39">
                  <c:v>240490648826.6571</c:v>
                </c:pt>
                <c:pt idx="40">
                  <c:v>236548179173.76111</c:v>
                </c:pt>
                <c:pt idx="41">
                  <c:v>232605709520.86511</c:v>
                </c:pt>
                <c:pt idx="42">
                  <c:v>228663239867.96912</c:v>
                </c:pt>
                <c:pt idx="43">
                  <c:v>224720770215.07309</c:v>
                </c:pt>
                <c:pt idx="44">
                  <c:v>220778300562.17706</c:v>
                </c:pt>
                <c:pt idx="45">
                  <c:v>216835830909.28101</c:v>
                </c:pt>
                <c:pt idx="46">
                  <c:v>212893361256.38501</c:v>
                </c:pt>
                <c:pt idx="47">
                  <c:v>208950891603.48898</c:v>
                </c:pt>
                <c:pt idx="48">
                  <c:v>205008421950.59296</c:v>
                </c:pt>
                <c:pt idx="49">
                  <c:v>201065952297.69693</c:v>
                </c:pt>
                <c:pt idx="50">
                  <c:v>197123482644.8009</c:v>
                </c:pt>
                <c:pt idx="51">
                  <c:v>193181012991.90491</c:v>
                </c:pt>
                <c:pt idx="52">
                  <c:v>189238543339.00891</c:v>
                </c:pt>
                <c:pt idx="53">
                  <c:v>185296073686.11288</c:v>
                </c:pt>
                <c:pt idx="54">
                  <c:v>181353604033.21683</c:v>
                </c:pt>
                <c:pt idx="55">
                  <c:v>177411134380.32083</c:v>
                </c:pt>
                <c:pt idx="56">
                  <c:v>173468664727.42477</c:v>
                </c:pt>
                <c:pt idx="57">
                  <c:v>169526195074.52884</c:v>
                </c:pt>
                <c:pt idx="58">
                  <c:v>165583725421.63278</c:v>
                </c:pt>
                <c:pt idx="59">
                  <c:v>161641255768.73679</c:v>
                </c:pt>
                <c:pt idx="60">
                  <c:v>157698786115.84073</c:v>
                </c:pt>
                <c:pt idx="61">
                  <c:v>153756316462.94473</c:v>
                </c:pt>
                <c:pt idx="62">
                  <c:v>149813846810.04871</c:v>
                </c:pt>
                <c:pt idx="63">
                  <c:v>145871377157.15268</c:v>
                </c:pt>
                <c:pt idx="64">
                  <c:v>141928907504.25665</c:v>
                </c:pt>
                <c:pt idx="65">
                  <c:v>137986437851.36066</c:v>
                </c:pt>
                <c:pt idx="66">
                  <c:v>134043968198.46461</c:v>
                </c:pt>
                <c:pt idx="67">
                  <c:v>130101498545.5686</c:v>
                </c:pt>
                <c:pt idx="68">
                  <c:v>126159028892.67256</c:v>
                </c:pt>
                <c:pt idx="69">
                  <c:v>122216559239.7766</c:v>
                </c:pt>
                <c:pt idx="70">
                  <c:v>118274089586.88057</c:v>
                </c:pt>
                <c:pt idx="71">
                  <c:v>114331619933.98456</c:v>
                </c:pt>
                <c:pt idx="72">
                  <c:v>110389150281.08853</c:v>
                </c:pt>
                <c:pt idx="73">
                  <c:v>106446680628.1925</c:v>
                </c:pt>
                <c:pt idx="74">
                  <c:v>102504210975.29648</c:v>
                </c:pt>
                <c:pt idx="75">
                  <c:v>98561741322.400452</c:v>
                </c:pt>
                <c:pt idx="76">
                  <c:v>94619271669.504456</c:v>
                </c:pt>
                <c:pt idx="77">
                  <c:v>90676802016.608414</c:v>
                </c:pt>
                <c:pt idx="78">
                  <c:v>86734332363.712387</c:v>
                </c:pt>
                <c:pt idx="79">
                  <c:v>82791862710.816376</c:v>
                </c:pt>
                <c:pt idx="80">
                  <c:v>78849393057.920364</c:v>
                </c:pt>
                <c:pt idx="81">
                  <c:v>74906923405.024338</c:v>
                </c:pt>
                <c:pt idx="82">
                  <c:v>70964453752.128342</c:v>
                </c:pt>
                <c:pt idx="83">
                  <c:v>67021984099.23233</c:v>
                </c:pt>
                <c:pt idx="84">
                  <c:v>63079514446.336304</c:v>
                </c:pt>
                <c:pt idx="85">
                  <c:v>59137044793.440285</c:v>
                </c:pt>
                <c:pt idx="86">
                  <c:v>55194575140.544266</c:v>
                </c:pt>
                <c:pt idx="87">
                  <c:v>51252105487.648239</c:v>
                </c:pt>
                <c:pt idx="88">
                  <c:v>47309635834.752228</c:v>
                </c:pt>
                <c:pt idx="89">
                  <c:v>43367166181.856194</c:v>
                </c:pt>
                <c:pt idx="90">
                  <c:v>39424696528.960182</c:v>
                </c:pt>
                <c:pt idx="91">
                  <c:v>35482226876.064148</c:v>
                </c:pt>
                <c:pt idx="92">
                  <c:v>31539757223.168137</c:v>
                </c:pt>
                <c:pt idx="93">
                  <c:v>27597287570.272106</c:v>
                </c:pt>
                <c:pt idx="94">
                  <c:v>23654817917.376129</c:v>
                </c:pt>
                <c:pt idx="95">
                  <c:v>19712348264.480106</c:v>
                </c:pt>
                <c:pt idx="96">
                  <c:v>15769878611.584087</c:v>
                </c:pt>
                <c:pt idx="97">
                  <c:v>11827408958.688065</c:v>
                </c:pt>
                <c:pt idx="98">
                  <c:v>7884939305.7920437</c:v>
                </c:pt>
                <c:pt idx="99">
                  <c:v>3942469652.8960218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5F1-4407-B714-670434925A74}"/>
            </c:ext>
          </c:extLst>
        </c:ser>
        <c:ser>
          <c:idx val="4"/>
          <c:order val="4"/>
          <c:tx>
            <c:strRef>
              <c:f>Src!$R$6</c:f>
              <c:strCache>
                <c:ptCount val="1"/>
                <c:pt idx="0">
                  <c:v>550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Src!$Q$8:$Q$108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Src!$S$8:$S$108</c:f>
              <c:numCache>
                <c:formatCode>0.00E+00</c:formatCode>
                <c:ptCount val="101"/>
                <c:pt idx="0">
                  <c:v>1126291412312.833</c:v>
                </c:pt>
                <c:pt idx="1">
                  <c:v>1115028498189.7048</c:v>
                </c:pt>
                <c:pt idx="2">
                  <c:v>1103765584066.5764</c:v>
                </c:pt>
                <c:pt idx="3">
                  <c:v>1092502669943.448</c:v>
                </c:pt>
                <c:pt idx="4">
                  <c:v>1081239755820.3199</c:v>
                </c:pt>
                <c:pt idx="5">
                  <c:v>1069976841697.1914</c:v>
                </c:pt>
                <c:pt idx="6">
                  <c:v>1058713927574.0631</c:v>
                </c:pt>
                <c:pt idx="7">
                  <c:v>1047451013450.9348</c:v>
                </c:pt>
                <c:pt idx="8">
                  <c:v>1036188099327.8065</c:v>
                </c:pt>
                <c:pt idx="9">
                  <c:v>1024925185204.6782</c:v>
                </c:pt>
                <c:pt idx="10">
                  <c:v>1013662271081.5499</c:v>
                </c:pt>
                <c:pt idx="11">
                  <c:v>1002399356958.4216</c:v>
                </c:pt>
                <c:pt idx="12">
                  <c:v>991136442835.29321</c:v>
                </c:pt>
                <c:pt idx="13">
                  <c:v>979873528712.16492</c:v>
                </c:pt>
                <c:pt idx="14">
                  <c:v>968610614589.03662</c:v>
                </c:pt>
                <c:pt idx="15">
                  <c:v>957347700465.90833</c:v>
                </c:pt>
                <c:pt idx="16">
                  <c:v>946084786342.77979</c:v>
                </c:pt>
                <c:pt idx="17">
                  <c:v>934821872219.65149</c:v>
                </c:pt>
                <c:pt idx="18">
                  <c:v>923558958096.52319</c:v>
                </c:pt>
                <c:pt idx="19">
                  <c:v>912296043973.3949</c:v>
                </c:pt>
                <c:pt idx="20">
                  <c:v>901033129850.26648</c:v>
                </c:pt>
                <c:pt idx="21">
                  <c:v>889770215727.13818</c:v>
                </c:pt>
                <c:pt idx="22">
                  <c:v>878507301604.00989</c:v>
                </c:pt>
                <c:pt idx="23">
                  <c:v>867244387480.88159</c:v>
                </c:pt>
                <c:pt idx="24">
                  <c:v>855981473357.75305</c:v>
                </c:pt>
                <c:pt idx="25">
                  <c:v>844718559234.62476</c:v>
                </c:pt>
                <c:pt idx="26">
                  <c:v>833455645111.49646</c:v>
                </c:pt>
                <c:pt idx="27">
                  <c:v>822192730988.36816</c:v>
                </c:pt>
                <c:pt idx="28">
                  <c:v>810929816865.23987</c:v>
                </c:pt>
                <c:pt idx="29">
                  <c:v>799666902742.11157</c:v>
                </c:pt>
                <c:pt idx="30">
                  <c:v>788403988618.98315</c:v>
                </c:pt>
                <c:pt idx="31">
                  <c:v>777141074495.85474</c:v>
                </c:pt>
                <c:pt idx="32">
                  <c:v>765878160372.72644</c:v>
                </c:pt>
                <c:pt idx="33">
                  <c:v>754615246249.59814</c:v>
                </c:pt>
                <c:pt idx="34">
                  <c:v>743352332126.46985</c:v>
                </c:pt>
                <c:pt idx="35">
                  <c:v>732089418003.34155</c:v>
                </c:pt>
                <c:pt idx="36">
                  <c:v>720826503880.21326</c:v>
                </c:pt>
                <c:pt idx="37">
                  <c:v>709563589757.08484</c:v>
                </c:pt>
                <c:pt idx="38">
                  <c:v>698300675633.95654</c:v>
                </c:pt>
                <c:pt idx="39">
                  <c:v>687037761510.82825</c:v>
                </c:pt>
                <c:pt idx="40">
                  <c:v>675774847387.69995</c:v>
                </c:pt>
                <c:pt idx="41">
                  <c:v>664511933264.57178</c:v>
                </c:pt>
                <c:pt idx="42">
                  <c:v>653249019141.44324</c:v>
                </c:pt>
                <c:pt idx="43">
                  <c:v>641986105018.31494</c:v>
                </c:pt>
                <c:pt idx="44">
                  <c:v>630723190895.18665</c:v>
                </c:pt>
                <c:pt idx="45">
                  <c:v>619460276772.05823</c:v>
                </c:pt>
                <c:pt idx="46">
                  <c:v>608197362648.92993</c:v>
                </c:pt>
                <c:pt idx="47">
                  <c:v>596934448525.80164</c:v>
                </c:pt>
                <c:pt idx="48">
                  <c:v>585671534402.67322</c:v>
                </c:pt>
                <c:pt idx="49">
                  <c:v>574408620279.5448</c:v>
                </c:pt>
                <c:pt idx="50">
                  <c:v>563145706156.4165</c:v>
                </c:pt>
                <c:pt idx="51">
                  <c:v>551882792033.28821</c:v>
                </c:pt>
                <c:pt idx="52">
                  <c:v>540619877910.15997</c:v>
                </c:pt>
                <c:pt idx="53">
                  <c:v>529356963787.03156</c:v>
                </c:pt>
                <c:pt idx="54">
                  <c:v>518094049663.90326</c:v>
                </c:pt>
                <c:pt idx="55">
                  <c:v>506831135540.77496</c:v>
                </c:pt>
                <c:pt idx="56">
                  <c:v>495568221417.64648</c:v>
                </c:pt>
                <c:pt idx="57">
                  <c:v>484305307294.51837</c:v>
                </c:pt>
                <c:pt idx="58">
                  <c:v>473042393171.39001</c:v>
                </c:pt>
                <c:pt idx="59">
                  <c:v>461779479048.2616</c:v>
                </c:pt>
                <c:pt idx="60">
                  <c:v>450516564925.13324</c:v>
                </c:pt>
                <c:pt idx="61">
                  <c:v>439253650802.00494</c:v>
                </c:pt>
                <c:pt idx="62">
                  <c:v>427990736678.87653</c:v>
                </c:pt>
                <c:pt idx="63">
                  <c:v>416727822555.74823</c:v>
                </c:pt>
                <c:pt idx="64">
                  <c:v>405464908432.61993</c:v>
                </c:pt>
                <c:pt idx="65">
                  <c:v>394201994309.49158</c:v>
                </c:pt>
                <c:pt idx="66">
                  <c:v>382939080186.36322</c:v>
                </c:pt>
                <c:pt idx="67">
                  <c:v>371676166063.23492</c:v>
                </c:pt>
                <c:pt idx="68">
                  <c:v>360413251940.10663</c:v>
                </c:pt>
                <c:pt idx="69">
                  <c:v>349150337816.97833</c:v>
                </c:pt>
                <c:pt idx="70">
                  <c:v>337887423693.85004</c:v>
                </c:pt>
                <c:pt idx="71">
                  <c:v>326624509570.72162</c:v>
                </c:pt>
                <c:pt idx="72">
                  <c:v>315361595447.59332</c:v>
                </c:pt>
                <c:pt idx="73">
                  <c:v>304098681324.46497</c:v>
                </c:pt>
                <c:pt idx="74">
                  <c:v>292835767201.33661</c:v>
                </c:pt>
                <c:pt idx="75">
                  <c:v>281572853078.20825</c:v>
                </c:pt>
                <c:pt idx="76">
                  <c:v>270309938955.07999</c:v>
                </c:pt>
                <c:pt idx="77">
                  <c:v>259047024831.95163</c:v>
                </c:pt>
                <c:pt idx="78">
                  <c:v>247784110708.82324</c:v>
                </c:pt>
                <c:pt idx="79">
                  <c:v>236521196585.69495</c:v>
                </c:pt>
                <c:pt idx="80">
                  <c:v>225258282462.56656</c:v>
                </c:pt>
                <c:pt idx="81">
                  <c:v>213995368339.43826</c:v>
                </c:pt>
                <c:pt idx="82">
                  <c:v>202732454216.31003</c:v>
                </c:pt>
                <c:pt idx="83">
                  <c:v>191469540093.18167</c:v>
                </c:pt>
                <c:pt idx="84">
                  <c:v>180206625970.05331</c:v>
                </c:pt>
                <c:pt idx="85">
                  <c:v>168943711846.92502</c:v>
                </c:pt>
                <c:pt idx="86">
                  <c:v>157680797723.79666</c:v>
                </c:pt>
                <c:pt idx="87">
                  <c:v>146417883600.6683</c:v>
                </c:pt>
                <c:pt idx="88">
                  <c:v>135154969477.53999</c:v>
                </c:pt>
                <c:pt idx="89">
                  <c:v>123892055354.41162</c:v>
                </c:pt>
                <c:pt idx="90">
                  <c:v>112629141231.28328</c:v>
                </c:pt>
                <c:pt idx="91">
                  <c:v>101366227108.15494</c:v>
                </c:pt>
                <c:pt idx="92">
                  <c:v>90103312985.026611</c:v>
                </c:pt>
                <c:pt idx="93">
                  <c:v>78840398861.89827</c:v>
                </c:pt>
                <c:pt idx="94">
                  <c:v>67577484738.770035</c:v>
                </c:pt>
                <c:pt idx="95">
                  <c:v>56314570615.641701</c:v>
                </c:pt>
                <c:pt idx="96">
                  <c:v>45051656492.513367</c:v>
                </c:pt>
                <c:pt idx="97">
                  <c:v>33788742369.385017</c:v>
                </c:pt>
                <c:pt idx="98">
                  <c:v>22525828246.256683</c:v>
                </c:pt>
                <c:pt idx="99">
                  <c:v>11262914123.128342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5F1-4407-B714-670434925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2200"/>
        <c:axId val="505621872"/>
      </c:scatterChart>
      <c:valAx>
        <c:axId val="505622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1872"/>
        <c:crosses val="autoZero"/>
        <c:crossBetween val="midCat"/>
      </c:valAx>
      <c:valAx>
        <c:axId val="5056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q'''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9525</xdr:rowOff>
        </xdr:from>
        <xdr:to>
          <xdr:col>21</xdr:col>
          <xdr:colOff>1038225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06843AD-47E2-4C89-A2DC-5E8A1BAD2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33337</xdr:colOff>
      <xdr:row>3</xdr:row>
      <xdr:rowOff>95250</xdr:rowOff>
    </xdr:from>
    <xdr:to>
      <xdr:col>33</xdr:col>
      <xdr:colOff>338137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DC8192-4EDD-492B-B607-826B626A8D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3</xdr:row>
      <xdr:rowOff>95250</xdr:rowOff>
    </xdr:from>
    <xdr:to>
      <xdr:col>41</xdr:col>
      <xdr:colOff>304800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2CF9E51-C1B0-4794-8DB5-BA7CD94FE5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590549</xdr:colOff>
          <xdr:row>0</xdr:row>
          <xdr:rowOff>19050</xdr:rowOff>
        </xdr:from>
        <xdr:to>
          <xdr:col>21</xdr:col>
          <xdr:colOff>76199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9D97B04-A62B-425D-A7D3-62F2452F0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</xdr:row>
      <xdr:rowOff>67733</xdr:rowOff>
    </xdr:from>
    <xdr:to>
      <xdr:col>10</xdr:col>
      <xdr:colOff>389589</xdr:colOff>
      <xdr:row>19</xdr:row>
      <xdr:rowOff>137583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705C9A9-47D3-49E1-9346-964F7B21AA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20</xdr:row>
      <xdr:rowOff>123295</xdr:rowOff>
    </xdr:from>
    <xdr:to>
      <xdr:col>10</xdr:col>
      <xdr:colOff>370541</xdr:colOff>
      <xdr:row>39</xdr:row>
      <xdr:rowOff>2645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C8490420-A2CA-4C01-9258-D771CAC717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23967</xdr:colOff>
      <xdr:row>22</xdr:row>
      <xdr:rowOff>43857</xdr:rowOff>
    </xdr:from>
    <xdr:to>
      <xdr:col>39</xdr:col>
      <xdr:colOff>600074</xdr:colOff>
      <xdr:row>38</xdr:row>
      <xdr:rowOff>124290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AAEFE3-E3BF-4D28-94F9-8FBCE9A73F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575421</xdr:colOff>
      <xdr:row>1</xdr:row>
      <xdr:rowOff>147574</xdr:rowOff>
    </xdr:from>
    <xdr:to>
      <xdr:col>20</xdr:col>
      <xdr:colOff>231586</xdr:colOff>
      <xdr:row>20</xdr:row>
      <xdr:rowOff>26924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40A65D23-2A18-447A-98F4-493523CB4A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575423</xdr:colOff>
      <xdr:row>20</xdr:row>
      <xdr:rowOff>141224</xdr:rowOff>
    </xdr:from>
    <xdr:to>
      <xdr:col>20</xdr:col>
      <xdr:colOff>231588</xdr:colOff>
      <xdr:row>39</xdr:row>
      <xdr:rowOff>20574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C4DF3258-4786-4E26-9CF1-A73637F175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588310</xdr:colOff>
      <xdr:row>1</xdr:row>
      <xdr:rowOff>182748</xdr:rowOff>
    </xdr:from>
    <xdr:to>
      <xdr:col>30</xdr:col>
      <xdr:colOff>244475</xdr:colOff>
      <xdr:row>20</xdr:row>
      <xdr:rowOff>62098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F3AD192-D970-4F29-8C2A-BE631E523F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444313</xdr:colOff>
      <xdr:row>20</xdr:row>
      <xdr:rowOff>189100</xdr:rowOff>
    </xdr:from>
    <xdr:to>
      <xdr:col>30</xdr:col>
      <xdr:colOff>110003</xdr:colOff>
      <xdr:row>39</xdr:row>
      <xdr:rowOff>68450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A8430A9-8B7B-441E-B69E-377A918D16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600076</xdr:colOff>
      <xdr:row>2</xdr:row>
      <xdr:rowOff>0</xdr:rowOff>
    </xdr:from>
    <xdr:to>
      <xdr:col>39</xdr:col>
      <xdr:colOff>523876</xdr:colOff>
      <xdr:row>20</xdr:row>
      <xdr:rowOff>90488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52B9C14-41AD-45DC-A592-FFA057387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314325</xdr:colOff>
      <xdr:row>41</xdr:row>
      <xdr:rowOff>52386</xdr:rowOff>
    </xdr:from>
    <xdr:to>
      <xdr:col>22</xdr:col>
      <xdr:colOff>142875</xdr:colOff>
      <xdr:row>58</xdr:row>
      <xdr:rowOff>76199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C9C87C0-099F-49C9-9178-E0B82BBD53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447675</xdr:colOff>
      <xdr:row>41</xdr:row>
      <xdr:rowOff>47625</xdr:rowOff>
    </xdr:from>
    <xdr:to>
      <xdr:col>31</xdr:col>
      <xdr:colOff>276225</xdr:colOff>
      <xdr:row>58</xdr:row>
      <xdr:rowOff>71438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3A7B132-EEB1-41E1-899C-F3C6313E0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352425</xdr:colOff>
      <xdr:row>59</xdr:row>
      <xdr:rowOff>0</xdr:rowOff>
    </xdr:from>
    <xdr:to>
      <xdr:col>22</xdr:col>
      <xdr:colOff>180975</xdr:colOff>
      <xdr:row>75</xdr:row>
      <xdr:rowOff>119063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A295077-4166-4B7B-9BBA-6346A69538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74</xdr:row>
          <xdr:rowOff>47625</xdr:rowOff>
        </xdr:from>
        <xdr:to>
          <xdr:col>13</xdr:col>
          <xdr:colOff>66675</xdr:colOff>
          <xdr:row>77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7CDEB46-A976-41CE-90C9-B942D5032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542925</xdr:colOff>
      <xdr:row>80</xdr:row>
      <xdr:rowOff>171450</xdr:rowOff>
    </xdr:from>
    <xdr:to>
      <xdr:col>10</xdr:col>
      <xdr:colOff>371475</xdr:colOff>
      <xdr:row>97</xdr:row>
      <xdr:rowOff>100013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0D2E738-29EE-42BD-9984-699A43232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533400</xdr:colOff>
          <xdr:row>74</xdr:row>
          <xdr:rowOff>0</xdr:rowOff>
        </xdr:from>
        <xdr:to>
          <xdr:col>39</xdr:col>
          <xdr:colOff>561975</xdr:colOff>
          <xdr:row>76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BEC1048-79D1-47F1-B133-0EE347FEF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381000</xdr:colOff>
          <xdr:row>74</xdr:row>
          <xdr:rowOff>19050</xdr:rowOff>
        </xdr:from>
        <xdr:to>
          <xdr:col>37</xdr:col>
          <xdr:colOff>142875</xdr:colOff>
          <xdr:row>76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402DD580-26D9-424B-B373-E495FD81B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74</xdr:row>
          <xdr:rowOff>142875</xdr:rowOff>
        </xdr:from>
        <xdr:to>
          <xdr:col>11</xdr:col>
          <xdr:colOff>104775</xdr:colOff>
          <xdr:row>76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947A0A13-3AE9-4750-AD94-3F46666C5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514350</xdr:colOff>
      <xdr:row>79</xdr:row>
      <xdr:rowOff>171450</xdr:rowOff>
    </xdr:from>
    <xdr:to>
      <xdr:col>37</xdr:col>
      <xdr:colOff>342900</xdr:colOff>
      <xdr:row>96</xdr:row>
      <xdr:rowOff>100013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32791065-5883-4818-A88B-8F901B73B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10</xdr:row>
      <xdr:rowOff>104775</xdr:rowOff>
    </xdr:from>
    <xdr:to>
      <xdr:col>12</xdr:col>
      <xdr:colOff>180975</xdr:colOff>
      <xdr:row>24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9097DE-4D3A-4D9D-8E24-ED3C99632D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0B2E-0903-4DA7-88C1-7EEDCE550D4A}">
  <sheetPr codeName="Sheet1"/>
  <dimension ref="A1:V211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8" sqref="A8"/>
    </sheetView>
  </sheetViews>
  <sheetFormatPr defaultRowHeight="15" x14ac:dyDescent="0.25"/>
  <cols>
    <col min="1" max="1" width="24.5703125" bestFit="1" customWidth="1"/>
    <col min="2" max="2" width="12.5703125" customWidth="1"/>
    <col min="3" max="3" width="10.7109375" bestFit="1" customWidth="1"/>
    <col min="4" max="4" width="10.7109375" customWidth="1"/>
    <col min="5" max="5" width="10.28515625" bestFit="1" customWidth="1"/>
    <col min="8" max="8" width="14.85546875" bestFit="1" customWidth="1"/>
  </cols>
  <sheetData>
    <row r="1" spans="1:22" ht="18.75" x14ac:dyDescent="0.3">
      <c r="A1" s="20" t="s">
        <v>280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t="s">
        <v>8</v>
      </c>
      <c r="S1" t="s">
        <v>193</v>
      </c>
    </row>
    <row r="2" spans="1:22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9</v>
      </c>
      <c r="R2" s="4" t="s">
        <v>10</v>
      </c>
      <c r="S2" s="4" t="s">
        <v>36</v>
      </c>
      <c r="T2" s="4" t="s">
        <v>122</v>
      </c>
      <c r="U2" s="4" t="s">
        <v>57</v>
      </c>
      <c r="V2" s="4" t="s">
        <v>21</v>
      </c>
    </row>
    <row r="3" spans="1:22" x14ac:dyDescent="0.25">
      <c r="A3" s="3" t="s">
        <v>285</v>
      </c>
      <c r="B3" s="8"/>
      <c r="C3" s="8"/>
      <c r="D3" s="8"/>
      <c r="E3" s="3"/>
      <c r="F3" s="8"/>
      <c r="G3" s="8"/>
      <c r="O3" s="8"/>
      <c r="P3" s="3"/>
      <c r="Q3" s="4"/>
      <c r="R3" s="4"/>
      <c r="S3" s="4"/>
      <c r="T3" s="4"/>
      <c r="U3" s="4"/>
      <c r="V3" s="4"/>
    </row>
    <row r="4" spans="1:22" x14ac:dyDescent="0.25">
      <c r="A4" s="17">
        <v>1</v>
      </c>
      <c r="B4" s="8">
        <v>5000</v>
      </c>
      <c r="C4" s="8">
        <v>800</v>
      </c>
      <c r="D4" s="8" t="s">
        <v>79</v>
      </c>
      <c r="E4" s="3">
        <v>70</v>
      </c>
      <c r="F4" s="4">
        <v>120</v>
      </c>
      <c r="G4" s="4">
        <v>120</v>
      </c>
      <c r="O4" s="8"/>
      <c r="P4" s="3"/>
      <c r="Q4" s="4"/>
      <c r="R4" s="4"/>
      <c r="V4" t="s">
        <v>275</v>
      </c>
    </row>
    <row r="5" spans="1:22" x14ac:dyDescent="0.25">
      <c r="A5" s="17">
        <v>2</v>
      </c>
      <c r="B5" s="8">
        <v>5000</v>
      </c>
      <c r="C5" s="8">
        <v>800</v>
      </c>
      <c r="D5" s="8" t="s">
        <v>79</v>
      </c>
      <c r="E5" s="3">
        <v>70</v>
      </c>
      <c r="F5" s="4">
        <v>120</v>
      </c>
      <c r="G5" s="4">
        <v>120</v>
      </c>
      <c r="O5" s="8"/>
      <c r="P5" s="3"/>
      <c r="V5" t="s">
        <v>276</v>
      </c>
    </row>
    <row r="6" spans="1:22" x14ac:dyDescent="0.25">
      <c r="A6" s="17">
        <v>3</v>
      </c>
      <c r="B6" s="8">
        <v>5000</v>
      </c>
      <c r="C6" s="8">
        <v>800</v>
      </c>
      <c r="D6" s="4" t="s">
        <v>79</v>
      </c>
      <c r="E6" s="3">
        <v>70</v>
      </c>
      <c r="F6" s="4">
        <v>120</v>
      </c>
      <c r="G6" s="4">
        <v>120</v>
      </c>
      <c r="O6" s="8"/>
      <c r="P6" s="3"/>
      <c r="V6" t="s">
        <v>277</v>
      </c>
    </row>
    <row r="7" spans="1:22" x14ac:dyDescent="0.25">
      <c r="A7" s="17">
        <v>4</v>
      </c>
      <c r="B7" s="8">
        <v>5109</v>
      </c>
      <c r="C7" s="8" t="s">
        <v>186</v>
      </c>
      <c r="D7" s="4" t="s">
        <v>79</v>
      </c>
      <c r="E7" s="3">
        <v>65</v>
      </c>
      <c r="F7" s="4">
        <v>300</v>
      </c>
      <c r="G7" s="4">
        <v>100</v>
      </c>
      <c r="H7" s="4">
        <v>400</v>
      </c>
      <c r="I7" s="4">
        <v>10</v>
      </c>
      <c r="J7" s="4">
        <v>15</v>
      </c>
      <c r="M7">
        <v>0.4</v>
      </c>
      <c r="N7">
        <v>48</v>
      </c>
      <c r="O7" s="9">
        <v>4890000</v>
      </c>
      <c r="P7" s="3">
        <v>2.78</v>
      </c>
      <c r="Q7" s="4">
        <v>0.13</v>
      </c>
      <c r="R7" s="4">
        <v>3.81</v>
      </c>
      <c r="U7" t="s">
        <v>279</v>
      </c>
      <c r="V7" t="s">
        <v>278</v>
      </c>
    </row>
    <row r="8" spans="1:22" x14ac:dyDescent="0.25">
      <c r="A8" s="17">
        <v>5</v>
      </c>
      <c r="B8" s="4">
        <v>5109</v>
      </c>
      <c r="C8" s="8" t="s">
        <v>186</v>
      </c>
      <c r="D8" s="4" t="s">
        <v>79</v>
      </c>
      <c r="E8" s="3">
        <v>65</v>
      </c>
      <c r="F8" s="4">
        <v>100</v>
      </c>
      <c r="G8" s="4">
        <v>300</v>
      </c>
      <c r="H8" s="4">
        <v>400</v>
      </c>
      <c r="I8" s="4">
        <v>10</v>
      </c>
      <c r="J8" s="4">
        <v>60</v>
      </c>
      <c r="M8">
        <v>0.4</v>
      </c>
      <c r="N8">
        <v>48</v>
      </c>
      <c r="O8" s="9">
        <v>4890000</v>
      </c>
      <c r="P8" s="3">
        <v>2.78</v>
      </c>
      <c r="Q8" s="4">
        <v>0.124</v>
      </c>
      <c r="R8" s="4">
        <v>3.97</v>
      </c>
      <c r="U8" t="s">
        <v>381</v>
      </c>
      <c r="V8" t="s">
        <v>382</v>
      </c>
    </row>
    <row r="9" spans="1:22" x14ac:dyDescent="0.25">
      <c r="A9" s="17"/>
      <c r="B9" s="8"/>
      <c r="C9" s="8"/>
      <c r="D9" s="4"/>
      <c r="E9" s="3"/>
      <c r="F9" s="4"/>
      <c r="G9" s="4"/>
      <c r="H9" s="4"/>
      <c r="I9" s="4"/>
      <c r="J9" s="4"/>
      <c r="O9" s="9"/>
      <c r="P9" s="3"/>
      <c r="Q9" s="4"/>
      <c r="R9" s="4"/>
    </row>
    <row r="10" spans="1:22" x14ac:dyDescent="0.25">
      <c r="A10" s="17" t="s">
        <v>290</v>
      </c>
      <c r="B10" s="8"/>
      <c r="C10" s="8"/>
      <c r="D10" s="8"/>
      <c r="E10" s="3"/>
      <c r="F10" s="8"/>
      <c r="G10" s="8"/>
      <c r="O10" s="8"/>
      <c r="P10" s="3"/>
    </row>
    <row r="11" spans="1:22" x14ac:dyDescent="0.25">
      <c r="A11" s="17" t="s">
        <v>291</v>
      </c>
      <c r="B11" s="8"/>
      <c r="C11" s="8"/>
      <c r="D11" s="8"/>
      <c r="E11" s="3"/>
      <c r="F11" s="8"/>
      <c r="G11" s="8"/>
      <c r="O11" s="8"/>
      <c r="P11" s="3"/>
      <c r="U11" t="s">
        <v>294</v>
      </c>
      <c r="V11" t="s">
        <v>276</v>
      </c>
    </row>
    <row r="12" spans="1:22" x14ac:dyDescent="0.25">
      <c r="A12" s="17" t="s">
        <v>292</v>
      </c>
      <c r="B12" s="8"/>
      <c r="C12" s="8"/>
      <c r="D12" s="8"/>
      <c r="E12" s="3"/>
      <c r="F12" s="8"/>
      <c r="G12" s="8"/>
      <c r="O12" s="8"/>
      <c r="P12" s="3"/>
      <c r="U12" t="s">
        <v>295</v>
      </c>
      <c r="V12" t="s">
        <v>276</v>
      </c>
    </row>
    <row r="13" spans="1:22" x14ac:dyDescent="0.25">
      <c r="A13" s="17" t="s">
        <v>293</v>
      </c>
      <c r="B13" s="8"/>
      <c r="C13" s="8"/>
      <c r="D13" s="8"/>
      <c r="E13" s="3"/>
      <c r="F13" s="8"/>
      <c r="G13" s="8"/>
      <c r="O13" s="8"/>
      <c r="P13" s="3"/>
      <c r="U13" t="s">
        <v>296</v>
      </c>
      <c r="V13" t="s">
        <v>276</v>
      </c>
    </row>
    <row r="14" spans="1:22" x14ac:dyDescent="0.25">
      <c r="A14" s="17" t="s">
        <v>297</v>
      </c>
      <c r="B14" s="8"/>
      <c r="C14" s="8"/>
      <c r="D14" s="8"/>
      <c r="E14" s="3"/>
      <c r="F14" s="8"/>
      <c r="G14" s="8"/>
      <c r="O14" s="8"/>
      <c r="P14" s="3"/>
      <c r="U14" s="27" t="s">
        <v>298</v>
      </c>
      <c r="V14" t="s">
        <v>276</v>
      </c>
    </row>
    <row r="15" spans="1:22" x14ac:dyDescent="0.25">
      <c r="A15" s="17" t="s">
        <v>299</v>
      </c>
      <c r="B15" s="8"/>
      <c r="C15" s="8"/>
      <c r="D15" s="8"/>
      <c r="E15" s="3"/>
      <c r="F15" s="8"/>
      <c r="G15" s="8"/>
      <c r="O15" s="8"/>
      <c r="P15" s="3"/>
      <c r="U15" t="s">
        <v>301</v>
      </c>
      <c r="V15" t="s">
        <v>276</v>
      </c>
    </row>
    <row r="16" spans="1:22" x14ac:dyDescent="0.25">
      <c r="A16" s="17"/>
      <c r="B16" s="8"/>
      <c r="C16" s="8"/>
      <c r="D16" s="8"/>
      <c r="E16" s="3"/>
      <c r="F16" s="8"/>
      <c r="G16" s="8"/>
      <c r="O16" s="8"/>
      <c r="P16" s="3"/>
    </row>
    <row r="17" spans="1:16" x14ac:dyDescent="0.25">
      <c r="A17" s="17"/>
      <c r="B17" s="8"/>
      <c r="C17" s="8"/>
      <c r="D17" s="8"/>
      <c r="E17" s="3"/>
      <c r="F17" s="8"/>
      <c r="G17" s="8"/>
      <c r="O17" s="8"/>
      <c r="P17" s="3"/>
    </row>
    <row r="18" spans="1:16" x14ac:dyDescent="0.25">
      <c r="A18" s="17"/>
      <c r="B18" s="8"/>
      <c r="C18" s="8"/>
      <c r="D18" s="8"/>
      <c r="E18" s="3"/>
      <c r="F18" s="8"/>
      <c r="G18" s="8"/>
      <c r="O18" s="8"/>
      <c r="P18" s="3"/>
    </row>
    <row r="19" spans="1:16" x14ac:dyDescent="0.25">
      <c r="A19" s="17"/>
      <c r="B19" s="8"/>
      <c r="C19" s="8"/>
      <c r="D19" s="8"/>
      <c r="E19" s="3"/>
      <c r="F19" s="8"/>
      <c r="G19" s="8"/>
      <c r="O19" s="8"/>
      <c r="P19" s="3"/>
    </row>
    <row r="20" spans="1:16" x14ac:dyDescent="0.25">
      <c r="A20" s="17"/>
      <c r="B20" s="8"/>
      <c r="C20" s="8"/>
      <c r="D20" s="8"/>
      <c r="E20" s="3"/>
      <c r="F20" s="8"/>
      <c r="G20" s="8"/>
      <c r="O20" s="8"/>
      <c r="P20" s="3"/>
    </row>
    <row r="21" spans="1:16" x14ac:dyDescent="0.25">
      <c r="A21" s="17"/>
      <c r="B21" s="8"/>
      <c r="C21" s="8"/>
      <c r="D21" s="8"/>
      <c r="E21" s="3"/>
      <c r="F21" s="8"/>
      <c r="G21" s="8"/>
      <c r="O21" s="8"/>
      <c r="P21" s="3"/>
    </row>
    <row r="22" spans="1:16" x14ac:dyDescent="0.25">
      <c r="A22" s="17"/>
      <c r="B22" s="8"/>
      <c r="C22" s="8"/>
      <c r="D22" s="8"/>
      <c r="E22" s="3"/>
      <c r="F22" s="8"/>
      <c r="G22" s="8"/>
      <c r="O22" s="8"/>
      <c r="P22" s="3"/>
    </row>
    <row r="23" spans="1:16" x14ac:dyDescent="0.25">
      <c r="A23" s="17"/>
      <c r="B23" s="8"/>
      <c r="C23" s="8"/>
      <c r="D23" s="8"/>
      <c r="E23" s="3"/>
      <c r="F23" s="8"/>
      <c r="G23" s="8"/>
      <c r="O23" s="8"/>
      <c r="P23" s="3"/>
    </row>
    <row r="24" spans="1:16" x14ac:dyDescent="0.25">
      <c r="A24" s="17"/>
      <c r="B24" s="8"/>
      <c r="C24" s="8"/>
      <c r="D24" s="8"/>
      <c r="E24" s="3"/>
      <c r="F24" s="8"/>
      <c r="G24" s="8"/>
      <c r="O24" s="8"/>
      <c r="P24" s="3"/>
    </row>
    <row r="25" spans="1:16" x14ac:dyDescent="0.25">
      <c r="A25" s="17"/>
      <c r="B25" s="8"/>
      <c r="C25" s="8"/>
      <c r="D25" s="8"/>
      <c r="E25" s="3"/>
      <c r="F25" s="8"/>
      <c r="G25" s="8"/>
      <c r="O25" s="8"/>
      <c r="P25" s="3"/>
    </row>
    <row r="26" spans="1:16" x14ac:dyDescent="0.25">
      <c r="A26" s="17"/>
      <c r="B26" s="8"/>
      <c r="C26" s="8"/>
      <c r="D26" s="8"/>
      <c r="E26" s="3"/>
      <c r="F26" s="8"/>
      <c r="G26" s="8"/>
      <c r="O26" s="8"/>
      <c r="P26" s="3"/>
    </row>
    <row r="27" spans="1:16" x14ac:dyDescent="0.25">
      <c r="A27" s="17"/>
      <c r="B27" s="8"/>
      <c r="C27" s="8"/>
      <c r="D27" s="8"/>
      <c r="E27" s="3"/>
      <c r="F27" s="8"/>
      <c r="G27" s="8"/>
      <c r="O27" s="8"/>
      <c r="P27" s="3"/>
    </row>
    <row r="28" spans="1:16" x14ac:dyDescent="0.25">
      <c r="A28" s="17"/>
      <c r="B28" s="8"/>
      <c r="C28" s="8"/>
      <c r="D28" s="8"/>
      <c r="E28" s="3"/>
      <c r="F28" s="8"/>
      <c r="G28" s="8"/>
      <c r="O28" s="8"/>
      <c r="P28" s="3"/>
    </row>
    <row r="29" spans="1:16" x14ac:dyDescent="0.25">
      <c r="A29" s="17"/>
      <c r="B29" s="8"/>
      <c r="C29" s="8"/>
      <c r="D29" s="8"/>
      <c r="E29" s="3"/>
      <c r="F29" s="8"/>
      <c r="G29" s="8"/>
      <c r="O29" s="8"/>
      <c r="P29" s="3"/>
    </row>
    <row r="30" spans="1:16" x14ac:dyDescent="0.25">
      <c r="A30" s="17"/>
      <c r="B30" s="8"/>
      <c r="C30" s="8"/>
      <c r="D30" s="8"/>
      <c r="E30" s="3"/>
      <c r="F30" s="8"/>
      <c r="G30" s="8"/>
      <c r="O30" s="8"/>
      <c r="P30" s="3"/>
    </row>
    <row r="31" spans="1:16" x14ac:dyDescent="0.25">
      <c r="A31" s="17"/>
      <c r="B31" s="8"/>
      <c r="C31" s="8"/>
      <c r="D31" s="8"/>
      <c r="E31" s="3"/>
      <c r="F31" s="8"/>
      <c r="G31" s="8"/>
      <c r="O31" s="8"/>
      <c r="P31" s="3"/>
    </row>
    <row r="32" spans="1:16" x14ac:dyDescent="0.25">
      <c r="A32" s="17"/>
      <c r="B32" s="8"/>
      <c r="C32" s="8"/>
      <c r="D32" s="8"/>
      <c r="E32" s="3"/>
      <c r="F32" s="8"/>
      <c r="G32" s="8"/>
      <c r="O32" s="8"/>
      <c r="P32" s="3"/>
    </row>
    <row r="33" spans="1:16" x14ac:dyDescent="0.25">
      <c r="A33" s="17"/>
      <c r="B33" s="8"/>
      <c r="C33" s="8"/>
      <c r="D33" s="8"/>
      <c r="E33" s="3"/>
      <c r="F33" s="8"/>
      <c r="G33" s="8"/>
      <c r="O33" s="8"/>
      <c r="P33" s="3"/>
    </row>
    <row r="34" spans="1:16" x14ac:dyDescent="0.25">
      <c r="A34" s="17"/>
      <c r="B34" s="8"/>
      <c r="C34" s="8"/>
      <c r="D34" s="8"/>
      <c r="E34" s="3"/>
      <c r="F34" s="8"/>
      <c r="G34" s="8"/>
      <c r="O34" s="8"/>
      <c r="P34" s="3"/>
    </row>
    <row r="35" spans="1:16" x14ac:dyDescent="0.25">
      <c r="A35" s="17"/>
      <c r="B35" s="8"/>
      <c r="C35" s="8"/>
      <c r="D35" s="8"/>
      <c r="E35" s="3"/>
      <c r="F35" s="8"/>
      <c r="G35" s="8"/>
      <c r="O35" s="8"/>
      <c r="P35" s="3"/>
    </row>
    <row r="36" spans="1:16" x14ac:dyDescent="0.25">
      <c r="A36" s="17"/>
      <c r="B36" s="8"/>
      <c r="C36" s="8"/>
      <c r="D36" s="8"/>
      <c r="E36" s="3"/>
      <c r="F36" s="8"/>
      <c r="G36" s="8"/>
      <c r="O36" s="8"/>
      <c r="P36" s="3"/>
    </row>
    <row r="37" spans="1:16" x14ac:dyDescent="0.25">
      <c r="A37" s="17"/>
      <c r="B37" s="8"/>
      <c r="C37" s="8"/>
      <c r="D37" s="8"/>
      <c r="E37" s="3"/>
      <c r="F37" s="8"/>
      <c r="G37" s="8"/>
      <c r="O37" s="8"/>
      <c r="P37" s="3"/>
    </row>
    <row r="38" spans="1:16" x14ac:dyDescent="0.25">
      <c r="A38" s="17"/>
      <c r="B38" s="8"/>
      <c r="C38" s="8"/>
      <c r="D38" s="8"/>
      <c r="E38" s="3"/>
      <c r="F38" s="8"/>
      <c r="G38" s="8"/>
      <c r="O38" s="8"/>
      <c r="P38" s="3"/>
    </row>
    <row r="39" spans="1:16" x14ac:dyDescent="0.25">
      <c r="A39" s="17"/>
      <c r="B39" s="8"/>
      <c r="C39" s="8"/>
      <c r="D39" s="8"/>
      <c r="E39" s="3"/>
      <c r="F39" s="8"/>
      <c r="G39" s="8"/>
      <c r="O39" s="8"/>
      <c r="P39" s="3"/>
    </row>
    <row r="40" spans="1:16" x14ac:dyDescent="0.25">
      <c r="A40" s="17"/>
      <c r="B40" s="8"/>
      <c r="C40" s="8"/>
      <c r="D40" s="8"/>
      <c r="E40" s="3"/>
      <c r="F40" s="8"/>
      <c r="G40" s="8"/>
      <c r="O40" s="8"/>
      <c r="P40" s="3"/>
    </row>
    <row r="41" spans="1:16" x14ac:dyDescent="0.25">
      <c r="A41" s="17"/>
      <c r="B41" s="8"/>
      <c r="C41" s="8"/>
      <c r="D41" s="8"/>
      <c r="E41" s="3"/>
      <c r="F41" s="8"/>
      <c r="G41" s="8"/>
      <c r="O41" s="8"/>
      <c r="P41" s="3"/>
    </row>
    <row r="42" spans="1:16" x14ac:dyDescent="0.25">
      <c r="A42" s="17"/>
      <c r="B42" s="8"/>
      <c r="C42" s="8"/>
      <c r="D42" s="8"/>
      <c r="E42" s="3"/>
      <c r="F42" s="8"/>
      <c r="G42" s="8"/>
      <c r="O42" s="8"/>
      <c r="P42" s="3"/>
    </row>
    <row r="43" spans="1:16" x14ac:dyDescent="0.25">
      <c r="A43" s="17"/>
      <c r="B43" s="8"/>
      <c r="C43" s="8"/>
      <c r="D43" s="8"/>
      <c r="E43" s="3"/>
      <c r="F43" s="8"/>
      <c r="G43" s="8"/>
      <c r="O43" s="8"/>
      <c r="P43" s="3"/>
    </row>
    <row r="44" spans="1:16" x14ac:dyDescent="0.25">
      <c r="A44" s="17"/>
      <c r="B44" s="8"/>
      <c r="C44" s="8"/>
      <c r="D44" s="8"/>
      <c r="E44" s="3"/>
      <c r="F44" s="8"/>
      <c r="G44" s="8"/>
      <c r="O44" s="8"/>
      <c r="P44" s="3"/>
    </row>
    <row r="45" spans="1:16" x14ac:dyDescent="0.25">
      <c r="A45" s="17"/>
      <c r="B45" s="8"/>
      <c r="C45" s="8"/>
      <c r="D45" s="8"/>
      <c r="E45" s="3"/>
      <c r="F45" s="8"/>
      <c r="G45" s="8"/>
      <c r="O45" s="8"/>
      <c r="P45" s="3"/>
    </row>
    <row r="46" spans="1:16" x14ac:dyDescent="0.25">
      <c r="A46" s="17"/>
      <c r="B46" s="8"/>
      <c r="C46" s="8"/>
      <c r="D46" s="8"/>
      <c r="E46" s="3"/>
      <c r="F46" s="8"/>
      <c r="G46" s="8"/>
      <c r="O46" s="8"/>
      <c r="P46" s="3"/>
    </row>
    <row r="47" spans="1:16" x14ac:dyDescent="0.25">
      <c r="A47" s="17"/>
      <c r="B47" s="8"/>
      <c r="C47" s="8"/>
      <c r="D47" s="8"/>
      <c r="E47" s="3"/>
      <c r="F47" s="8"/>
      <c r="G47" s="8"/>
      <c r="O47" s="8"/>
      <c r="P47" s="3"/>
    </row>
    <row r="48" spans="1:16" x14ac:dyDescent="0.25">
      <c r="A48" s="17"/>
      <c r="B48" s="8"/>
      <c r="C48" s="8"/>
      <c r="D48" s="8"/>
      <c r="E48" s="3"/>
      <c r="F48" s="8"/>
      <c r="G48" s="8"/>
      <c r="O48" s="8"/>
      <c r="P48" s="3"/>
    </row>
    <row r="49" spans="1:16" x14ac:dyDescent="0.25">
      <c r="A49" s="17"/>
      <c r="B49" s="8"/>
      <c r="C49" s="8"/>
      <c r="D49" s="8"/>
      <c r="E49" s="3"/>
      <c r="F49" s="8"/>
      <c r="G49" s="8"/>
      <c r="O49" s="8"/>
      <c r="P49" s="3"/>
    </row>
    <row r="50" spans="1:16" x14ac:dyDescent="0.25">
      <c r="A50" s="17"/>
      <c r="B50" s="8"/>
      <c r="C50" s="8"/>
      <c r="D50" s="8"/>
      <c r="E50" s="3"/>
      <c r="F50" s="8"/>
      <c r="G50" s="8"/>
      <c r="O50" s="8"/>
      <c r="P50" s="3"/>
    </row>
    <row r="51" spans="1:16" x14ac:dyDescent="0.25">
      <c r="A51" s="17"/>
      <c r="B51" s="8"/>
      <c r="C51" s="8"/>
      <c r="D51" s="8"/>
      <c r="E51" s="3"/>
      <c r="F51" s="8"/>
      <c r="G51" s="8"/>
      <c r="O51" s="8"/>
      <c r="P51" s="3"/>
    </row>
    <row r="52" spans="1:16" x14ac:dyDescent="0.25">
      <c r="A52" s="17"/>
      <c r="B52" s="8"/>
      <c r="C52" s="8"/>
      <c r="D52" s="8"/>
      <c r="E52" s="3"/>
      <c r="F52" s="8"/>
      <c r="G52" s="8"/>
      <c r="O52" s="8"/>
      <c r="P52" s="3"/>
    </row>
    <row r="53" spans="1:16" x14ac:dyDescent="0.25">
      <c r="A53" s="17"/>
      <c r="B53" s="8"/>
      <c r="C53" s="8"/>
      <c r="D53" s="8"/>
      <c r="E53" s="3"/>
      <c r="F53" s="8"/>
      <c r="G53" s="8"/>
      <c r="O53" s="8"/>
      <c r="P53" s="3"/>
    </row>
    <row r="54" spans="1:16" x14ac:dyDescent="0.25">
      <c r="A54" s="17"/>
      <c r="B54" s="8"/>
      <c r="C54" s="8"/>
      <c r="D54" s="8"/>
      <c r="E54" s="3"/>
      <c r="F54" s="8"/>
      <c r="G54" s="8"/>
      <c r="O54" s="8"/>
      <c r="P54" s="3"/>
    </row>
    <row r="55" spans="1:16" x14ac:dyDescent="0.25">
      <c r="A55" s="17"/>
      <c r="B55" s="8"/>
      <c r="C55" s="8"/>
      <c r="D55" s="8"/>
      <c r="E55" s="3"/>
      <c r="F55" s="8"/>
      <c r="G55" s="8"/>
      <c r="O55" s="8"/>
      <c r="P55" s="3"/>
    </row>
    <row r="56" spans="1:16" x14ac:dyDescent="0.25">
      <c r="A56" s="17"/>
      <c r="B56" s="8"/>
      <c r="C56" s="8"/>
      <c r="D56" s="8"/>
      <c r="E56" s="3"/>
      <c r="F56" s="8"/>
      <c r="G56" s="8"/>
      <c r="O56" s="8"/>
      <c r="P56" s="3"/>
    </row>
    <row r="57" spans="1:16" x14ac:dyDescent="0.25">
      <c r="A57" s="17"/>
      <c r="B57" s="8"/>
      <c r="C57" s="8"/>
      <c r="D57" s="8"/>
      <c r="E57" s="3"/>
      <c r="F57" s="8"/>
      <c r="G57" s="8"/>
      <c r="O57" s="8"/>
      <c r="P57" s="3"/>
    </row>
    <row r="58" spans="1:16" x14ac:dyDescent="0.25">
      <c r="A58" s="17"/>
      <c r="B58" s="8"/>
      <c r="C58" s="8"/>
      <c r="D58" s="8"/>
      <c r="E58" s="3"/>
      <c r="F58" s="8"/>
      <c r="G58" s="8"/>
      <c r="O58" s="8"/>
      <c r="P58" s="3"/>
    </row>
    <row r="59" spans="1:16" x14ac:dyDescent="0.25">
      <c r="A59" s="17"/>
      <c r="B59" s="8"/>
      <c r="C59" s="8"/>
      <c r="D59" s="8"/>
      <c r="E59" s="3"/>
      <c r="F59" s="8"/>
      <c r="G59" s="8"/>
      <c r="O59" s="8"/>
      <c r="P59" s="3"/>
    </row>
    <row r="60" spans="1:16" x14ac:dyDescent="0.25">
      <c r="A60" s="17"/>
      <c r="B60" s="8"/>
      <c r="C60" s="8"/>
      <c r="D60" s="8"/>
      <c r="E60" s="3"/>
      <c r="F60" s="8"/>
      <c r="G60" s="8"/>
      <c r="O60" s="8"/>
      <c r="P60" s="3"/>
    </row>
    <row r="61" spans="1:16" x14ac:dyDescent="0.25">
      <c r="A61" s="17"/>
      <c r="B61" s="8"/>
      <c r="C61" s="8"/>
      <c r="D61" s="8"/>
      <c r="E61" s="3"/>
      <c r="F61" s="8"/>
      <c r="G61" s="8"/>
      <c r="O61" s="8"/>
      <c r="P61" s="3"/>
    </row>
    <row r="62" spans="1:16" x14ac:dyDescent="0.25">
      <c r="A62" s="17"/>
      <c r="B62" s="8"/>
      <c r="C62" s="8"/>
      <c r="D62" s="8"/>
      <c r="E62" s="3"/>
      <c r="F62" s="8"/>
      <c r="G62" s="8"/>
      <c r="O62" s="8"/>
      <c r="P62" s="3"/>
    </row>
    <row r="63" spans="1:16" x14ac:dyDescent="0.25">
      <c r="A63" s="17"/>
      <c r="B63" s="8"/>
      <c r="C63" s="8"/>
      <c r="D63" s="8"/>
      <c r="E63" s="3"/>
      <c r="F63" s="8"/>
      <c r="G63" s="8"/>
      <c r="O63" s="8"/>
      <c r="P63" s="3"/>
    </row>
    <row r="64" spans="1:16" x14ac:dyDescent="0.25">
      <c r="A64" s="17"/>
      <c r="B64" s="8"/>
      <c r="C64" s="8"/>
      <c r="D64" s="8"/>
      <c r="E64" s="3"/>
      <c r="F64" s="8"/>
      <c r="G64" s="8"/>
      <c r="O64" s="8"/>
      <c r="P64" s="3"/>
    </row>
    <row r="65" spans="1:16" x14ac:dyDescent="0.25">
      <c r="A65" s="17"/>
      <c r="B65" s="8"/>
      <c r="C65" s="8"/>
      <c r="D65" s="8"/>
      <c r="E65" s="3"/>
      <c r="F65" s="8"/>
      <c r="G65" s="8"/>
      <c r="O65" s="8"/>
      <c r="P65" s="3"/>
    </row>
    <row r="66" spans="1:16" x14ac:dyDescent="0.25">
      <c r="A66" s="17"/>
      <c r="B66" s="8"/>
      <c r="C66" s="8"/>
      <c r="D66" s="8"/>
      <c r="E66" s="3"/>
      <c r="F66" s="8"/>
      <c r="G66" s="8"/>
      <c r="O66" s="8"/>
      <c r="P66" s="3"/>
    </row>
    <row r="67" spans="1:16" x14ac:dyDescent="0.25">
      <c r="A67" s="17"/>
      <c r="B67" s="8"/>
      <c r="C67" s="8"/>
      <c r="D67" s="8"/>
      <c r="E67" s="3"/>
      <c r="F67" s="8"/>
      <c r="G67" s="8"/>
      <c r="O67" s="8"/>
      <c r="P67" s="3"/>
    </row>
    <row r="68" spans="1:16" x14ac:dyDescent="0.25">
      <c r="A68" s="17"/>
      <c r="B68" s="8"/>
      <c r="C68" s="8"/>
      <c r="D68" s="8"/>
      <c r="E68" s="3"/>
      <c r="F68" s="8"/>
      <c r="G68" s="8"/>
      <c r="O68" s="8"/>
      <c r="P68" s="3"/>
    </row>
    <row r="69" spans="1:16" x14ac:dyDescent="0.25">
      <c r="A69" s="17"/>
      <c r="B69" s="8"/>
      <c r="C69" s="8"/>
      <c r="D69" s="8"/>
      <c r="E69" s="3"/>
      <c r="F69" s="8"/>
      <c r="G69" s="8"/>
      <c r="O69" s="8"/>
      <c r="P69" s="3"/>
    </row>
    <row r="70" spans="1:16" x14ac:dyDescent="0.25">
      <c r="A70" s="17"/>
      <c r="B70" s="8"/>
      <c r="C70" s="8"/>
      <c r="D70" s="8"/>
      <c r="E70" s="3"/>
      <c r="F70" s="8"/>
      <c r="G70" s="8"/>
      <c r="O70" s="8"/>
      <c r="P70" s="3"/>
    </row>
    <row r="71" spans="1:16" x14ac:dyDescent="0.25">
      <c r="A71" s="17"/>
      <c r="B71" s="8"/>
      <c r="C71" s="8"/>
      <c r="D71" s="8"/>
      <c r="E71" s="3"/>
      <c r="F71" s="8"/>
      <c r="G71" s="8"/>
      <c r="O71" s="8"/>
      <c r="P71" s="3"/>
    </row>
    <row r="72" spans="1:16" x14ac:dyDescent="0.25">
      <c r="A72" s="17"/>
      <c r="B72" s="8"/>
      <c r="C72" s="8"/>
      <c r="D72" s="8"/>
      <c r="E72" s="3"/>
      <c r="F72" s="8"/>
      <c r="G72" s="8"/>
      <c r="O72" s="8"/>
      <c r="P72" s="3"/>
    </row>
    <row r="73" spans="1:16" x14ac:dyDescent="0.25">
      <c r="A73" s="17"/>
      <c r="B73" s="8"/>
      <c r="C73" s="8"/>
      <c r="D73" s="8"/>
      <c r="E73" s="3"/>
      <c r="F73" s="8"/>
      <c r="G73" s="8"/>
      <c r="O73" s="8"/>
      <c r="P73" s="3"/>
    </row>
    <row r="74" spans="1:16" x14ac:dyDescent="0.25">
      <c r="A74" s="17"/>
      <c r="B74" s="8"/>
      <c r="C74" s="8"/>
      <c r="D74" s="8"/>
      <c r="E74" s="3"/>
      <c r="F74" s="8"/>
      <c r="G74" s="8"/>
      <c r="O74" s="8"/>
      <c r="P74" s="3"/>
    </row>
    <row r="75" spans="1:16" x14ac:dyDescent="0.25">
      <c r="A75" s="17"/>
      <c r="B75" s="8"/>
      <c r="C75" s="8"/>
      <c r="D75" s="8"/>
      <c r="E75" s="3"/>
      <c r="F75" s="8"/>
      <c r="G75" s="8"/>
      <c r="O75" s="8"/>
      <c r="P75" s="3"/>
    </row>
    <row r="76" spans="1:16" x14ac:dyDescent="0.25">
      <c r="A76" s="17"/>
      <c r="B76" s="8"/>
      <c r="C76" s="8"/>
      <c r="D76" s="8"/>
      <c r="E76" s="3"/>
      <c r="F76" s="8"/>
      <c r="G76" s="8"/>
      <c r="O76" s="8"/>
      <c r="P76" s="3"/>
    </row>
    <row r="77" spans="1:16" x14ac:dyDescent="0.25">
      <c r="A77" s="17"/>
      <c r="B77" s="8"/>
      <c r="C77" s="8"/>
      <c r="D77" s="8"/>
      <c r="E77" s="3"/>
      <c r="F77" s="8"/>
      <c r="G77" s="8"/>
      <c r="O77" s="8"/>
      <c r="P77" s="3"/>
    </row>
    <row r="78" spans="1:16" x14ac:dyDescent="0.25">
      <c r="A78" s="17"/>
      <c r="B78" s="8"/>
      <c r="C78" s="8"/>
      <c r="D78" s="8"/>
      <c r="E78" s="3"/>
      <c r="F78" s="8"/>
      <c r="G78" s="8"/>
      <c r="O78" s="8"/>
      <c r="P78" s="3"/>
    </row>
    <row r="79" spans="1:16" x14ac:dyDescent="0.25">
      <c r="A79" s="17"/>
      <c r="B79" s="8"/>
      <c r="C79" s="8"/>
      <c r="D79" s="8"/>
      <c r="E79" s="3"/>
      <c r="F79" s="8"/>
      <c r="G79" s="8"/>
      <c r="O79" s="8"/>
      <c r="P79" s="3"/>
    </row>
    <row r="80" spans="1:16" x14ac:dyDescent="0.25">
      <c r="A80" s="17"/>
      <c r="B80" s="8"/>
      <c r="C80" s="8"/>
      <c r="D80" s="8"/>
      <c r="E80" s="3"/>
      <c r="F80" s="8"/>
      <c r="G80" s="8"/>
      <c r="O80" s="8"/>
      <c r="P80" s="3"/>
    </row>
    <row r="81" spans="1:16" x14ac:dyDescent="0.25">
      <c r="A81" s="17"/>
      <c r="B81" s="8"/>
      <c r="C81" s="8"/>
      <c r="D81" s="8"/>
      <c r="E81" s="3"/>
      <c r="F81" s="8"/>
      <c r="G81" s="8"/>
      <c r="O81" s="8"/>
      <c r="P81" s="3"/>
    </row>
    <row r="82" spans="1:16" x14ac:dyDescent="0.25">
      <c r="A82" s="17"/>
      <c r="B82" s="8"/>
      <c r="C82" s="8"/>
      <c r="D82" s="8"/>
      <c r="E82" s="3"/>
      <c r="F82" s="8"/>
      <c r="G82" s="8"/>
      <c r="O82" s="8"/>
      <c r="P82" s="3"/>
    </row>
    <row r="83" spans="1:16" x14ac:dyDescent="0.25">
      <c r="A83" s="17"/>
      <c r="B83" s="8"/>
      <c r="C83" s="8"/>
      <c r="D83" s="8"/>
      <c r="E83" s="3"/>
      <c r="F83" s="8"/>
      <c r="G83" s="8"/>
      <c r="O83" s="8"/>
      <c r="P83" s="3"/>
    </row>
    <row r="84" spans="1:16" x14ac:dyDescent="0.25">
      <c r="A84" s="17"/>
      <c r="B84" s="8"/>
      <c r="C84" s="8"/>
      <c r="D84" s="8"/>
      <c r="E84" s="3"/>
      <c r="F84" s="8"/>
      <c r="G84" s="8"/>
      <c r="O84" s="8"/>
      <c r="P84" s="3"/>
    </row>
    <row r="85" spans="1:16" x14ac:dyDescent="0.25">
      <c r="A85" s="17"/>
      <c r="B85" s="8"/>
      <c r="C85" s="8"/>
      <c r="D85" s="8"/>
      <c r="E85" s="3"/>
      <c r="F85" s="8"/>
      <c r="G85" s="8"/>
      <c r="O85" s="8"/>
      <c r="P85" s="3"/>
    </row>
    <row r="86" spans="1:16" x14ac:dyDescent="0.25">
      <c r="A86" s="17"/>
      <c r="B86" s="8"/>
      <c r="C86" s="8"/>
      <c r="D86" s="8"/>
      <c r="E86" s="3"/>
      <c r="F86" s="8"/>
      <c r="G86" s="8"/>
      <c r="O86" s="8"/>
      <c r="P86" s="3"/>
    </row>
    <row r="87" spans="1:16" x14ac:dyDescent="0.25">
      <c r="A87" s="17"/>
      <c r="B87" s="8"/>
      <c r="C87" s="8"/>
      <c r="D87" s="8"/>
      <c r="E87" s="3"/>
      <c r="F87" s="8"/>
      <c r="G87" s="8"/>
      <c r="O87" s="8"/>
      <c r="P87" s="3"/>
    </row>
    <row r="88" spans="1:16" x14ac:dyDescent="0.25">
      <c r="A88" s="17"/>
      <c r="B88" s="8"/>
      <c r="C88" s="8"/>
      <c r="D88" s="8"/>
      <c r="E88" s="3"/>
      <c r="F88" s="8"/>
      <c r="G88" s="8"/>
      <c r="O88" s="8"/>
      <c r="P88" s="3"/>
    </row>
    <row r="89" spans="1:16" x14ac:dyDescent="0.25">
      <c r="A89" s="17"/>
      <c r="B89" s="8"/>
      <c r="C89" s="8"/>
      <c r="D89" s="8"/>
      <c r="E89" s="3"/>
      <c r="F89" s="8"/>
      <c r="G89" s="8"/>
      <c r="O89" s="8"/>
      <c r="P89" s="3"/>
    </row>
    <row r="90" spans="1:16" x14ac:dyDescent="0.25">
      <c r="A90" s="17"/>
      <c r="B90" s="8"/>
      <c r="C90" s="8"/>
      <c r="D90" s="8"/>
      <c r="E90" s="3"/>
      <c r="F90" s="8"/>
      <c r="G90" s="8"/>
      <c r="O90" s="8"/>
      <c r="P90" s="3"/>
    </row>
    <row r="91" spans="1:16" x14ac:dyDescent="0.25">
      <c r="A91" s="17"/>
      <c r="B91" s="8"/>
      <c r="C91" s="8"/>
      <c r="D91" s="8"/>
      <c r="E91" s="3"/>
      <c r="F91" s="8"/>
      <c r="G91" s="8"/>
      <c r="O91" s="8"/>
      <c r="P91" s="3"/>
    </row>
    <row r="92" spans="1:16" x14ac:dyDescent="0.25">
      <c r="A92" s="17"/>
      <c r="B92" s="8"/>
      <c r="C92" s="8"/>
      <c r="D92" s="8"/>
      <c r="E92" s="3"/>
      <c r="F92" s="8"/>
      <c r="G92" s="8"/>
      <c r="O92" s="8"/>
      <c r="P92" s="3"/>
    </row>
    <row r="93" spans="1:16" x14ac:dyDescent="0.25">
      <c r="A93" s="17"/>
      <c r="B93" s="8"/>
      <c r="C93" s="8"/>
      <c r="D93" s="8"/>
      <c r="E93" s="3"/>
      <c r="F93" s="8"/>
      <c r="G93" s="8"/>
      <c r="O93" s="8"/>
      <c r="P93" s="3"/>
    </row>
    <row r="94" spans="1:16" x14ac:dyDescent="0.25">
      <c r="A94" s="17"/>
      <c r="B94" s="8"/>
      <c r="C94" s="8"/>
      <c r="D94" s="8"/>
      <c r="E94" s="3"/>
      <c r="F94" s="8"/>
      <c r="G94" s="8"/>
      <c r="O94" s="8"/>
      <c r="P94" s="3"/>
    </row>
    <row r="95" spans="1:16" x14ac:dyDescent="0.25">
      <c r="A95" s="17"/>
      <c r="B95" s="8"/>
      <c r="C95" s="8"/>
      <c r="D95" s="8"/>
      <c r="E95" s="3"/>
      <c r="F95" s="8"/>
      <c r="G95" s="8"/>
      <c r="O95" s="8"/>
      <c r="P95" s="3"/>
    </row>
    <row r="96" spans="1:16" x14ac:dyDescent="0.25">
      <c r="A96" s="17"/>
      <c r="B96" s="8"/>
      <c r="C96" s="8"/>
      <c r="D96" s="8"/>
      <c r="E96" s="3"/>
      <c r="F96" s="8"/>
      <c r="G96" s="8"/>
      <c r="O96" s="8"/>
      <c r="P96" s="3"/>
    </row>
    <row r="97" spans="1:16" x14ac:dyDescent="0.25">
      <c r="A97" s="17"/>
      <c r="B97" s="8"/>
      <c r="C97" s="8"/>
      <c r="D97" s="8"/>
      <c r="E97" s="3"/>
      <c r="F97" s="8"/>
      <c r="G97" s="8"/>
      <c r="O97" s="8"/>
      <c r="P97" s="3"/>
    </row>
    <row r="98" spans="1:16" x14ac:dyDescent="0.25">
      <c r="A98" s="17"/>
      <c r="B98" s="8"/>
      <c r="C98" s="8"/>
      <c r="D98" s="8"/>
      <c r="E98" s="3"/>
      <c r="F98" s="8"/>
      <c r="G98" s="8"/>
      <c r="O98" s="8"/>
      <c r="P98" s="3"/>
    </row>
    <row r="99" spans="1:16" x14ac:dyDescent="0.25">
      <c r="A99" s="17"/>
      <c r="B99" s="8"/>
      <c r="C99" s="8"/>
      <c r="D99" s="8"/>
      <c r="E99" s="3"/>
      <c r="F99" s="8"/>
      <c r="G99" s="8"/>
      <c r="O99" s="8"/>
      <c r="P99" s="3"/>
    </row>
    <row r="100" spans="1:16" x14ac:dyDescent="0.25">
      <c r="A100" s="17"/>
      <c r="B100" s="8"/>
      <c r="C100" s="8"/>
      <c r="D100" s="8"/>
      <c r="E100" s="3"/>
      <c r="F100" s="8"/>
      <c r="G100" s="8"/>
      <c r="O100" s="8"/>
      <c r="P100" s="3"/>
    </row>
    <row r="101" spans="1:16" x14ac:dyDescent="0.25">
      <c r="A101" s="17"/>
      <c r="B101" s="8"/>
      <c r="C101" s="8"/>
      <c r="D101" s="8"/>
      <c r="E101" s="3"/>
      <c r="F101" s="8"/>
      <c r="G101" s="8"/>
      <c r="O101" s="8"/>
      <c r="P101" s="3"/>
    </row>
    <row r="102" spans="1:16" x14ac:dyDescent="0.25">
      <c r="A102" s="17"/>
      <c r="B102" s="8"/>
      <c r="C102" s="8"/>
      <c r="D102" s="8"/>
      <c r="E102" s="3"/>
      <c r="F102" s="8"/>
      <c r="G102" s="8"/>
      <c r="O102" s="8"/>
      <c r="P102" s="3"/>
    </row>
    <row r="103" spans="1:16" x14ac:dyDescent="0.25">
      <c r="A103" s="17"/>
      <c r="B103" s="8"/>
      <c r="C103" s="8"/>
      <c r="D103" s="8"/>
      <c r="E103" s="3"/>
      <c r="F103" s="8"/>
      <c r="G103" s="8"/>
      <c r="O103" s="8"/>
      <c r="P103" s="3"/>
    </row>
    <row r="104" spans="1:16" x14ac:dyDescent="0.25">
      <c r="A104" s="17"/>
      <c r="B104" s="8"/>
      <c r="C104" s="8"/>
      <c r="D104" s="8"/>
      <c r="E104" s="3"/>
      <c r="F104" s="8"/>
      <c r="G104" s="8"/>
      <c r="O104" s="8"/>
      <c r="P104" s="3"/>
    </row>
    <row r="105" spans="1:16" x14ac:dyDescent="0.25">
      <c r="A105" s="17"/>
      <c r="B105" s="8"/>
      <c r="C105" s="8"/>
      <c r="D105" s="8"/>
      <c r="E105" s="3"/>
      <c r="F105" s="8"/>
      <c r="G105" s="8"/>
      <c r="O105" s="8"/>
      <c r="P105" s="3"/>
    </row>
    <row r="106" spans="1:16" x14ac:dyDescent="0.25">
      <c r="A106" s="17"/>
      <c r="B106" s="8"/>
      <c r="C106" s="8"/>
      <c r="D106" s="8"/>
      <c r="E106" s="3"/>
      <c r="F106" s="8"/>
      <c r="G106" s="8"/>
      <c r="O106" s="8"/>
      <c r="P106" s="3"/>
    </row>
    <row r="107" spans="1:16" x14ac:dyDescent="0.25">
      <c r="A107" s="17"/>
      <c r="B107" s="8"/>
      <c r="C107" s="8"/>
      <c r="D107" s="8"/>
      <c r="E107" s="3"/>
      <c r="F107" s="8"/>
      <c r="G107" s="8"/>
      <c r="O107" s="8"/>
      <c r="P107" s="3"/>
    </row>
    <row r="108" spans="1:16" x14ac:dyDescent="0.25">
      <c r="A108" s="17"/>
      <c r="B108" s="8"/>
      <c r="C108" s="8"/>
      <c r="D108" s="8"/>
      <c r="E108" s="3"/>
      <c r="F108" s="8"/>
      <c r="G108" s="8"/>
      <c r="O108" s="8"/>
      <c r="P108" s="3"/>
    </row>
    <row r="109" spans="1:16" x14ac:dyDescent="0.25">
      <c r="A109" s="17"/>
      <c r="B109" s="8"/>
      <c r="C109" s="8"/>
      <c r="D109" s="8"/>
      <c r="E109" s="3"/>
      <c r="F109" s="8"/>
      <c r="G109" s="8"/>
      <c r="O109" s="8"/>
      <c r="P109" s="3"/>
    </row>
    <row r="110" spans="1:16" x14ac:dyDescent="0.25">
      <c r="A110" s="17"/>
      <c r="B110" s="8"/>
      <c r="C110" s="8"/>
      <c r="D110" s="8"/>
      <c r="E110" s="3"/>
      <c r="F110" s="8"/>
      <c r="G110" s="8"/>
      <c r="O110" s="8"/>
      <c r="P110" s="3"/>
    </row>
    <row r="111" spans="1:16" x14ac:dyDescent="0.25">
      <c r="A111" s="17"/>
      <c r="B111" s="8"/>
      <c r="C111" s="8"/>
      <c r="D111" s="8"/>
      <c r="E111" s="3"/>
      <c r="F111" s="8"/>
      <c r="G111" s="8"/>
      <c r="O111" s="8"/>
      <c r="P111" s="3"/>
    </row>
    <row r="112" spans="1:16" x14ac:dyDescent="0.25">
      <c r="A112" s="17"/>
      <c r="B112" s="8"/>
      <c r="C112" s="8"/>
      <c r="D112" s="8"/>
      <c r="E112" s="3"/>
      <c r="F112" s="8"/>
      <c r="G112" s="8"/>
      <c r="O112" s="8"/>
      <c r="P112" s="3"/>
    </row>
    <row r="113" spans="1:16" x14ac:dyDescent="0.25">
      <c r="A113" s="17"/>
      <c r="B113" s="8"/>
      <c r="C113" s="8"/>
      <c r="D113" s="8"/>
      <c r="E113" s="3"/>
      <c r="F113" s="8"/>
      <c r="G113" s="8"/>
      <c r="O113" s="8"/>
      <c r="P113" s="3"/>
    </row>
    <row r="114" spans="1:16" x14ac:dyDescent="0.25">
      <c r="A114" s="17"/>
      <c r="B114" s="8"/>
      <c r="C114" s="8"/>
      <c r="D114" s="8"/>
      <c r="E114" s="3"/>
      <c r="F114" s="8"/>
      <c r="G114" s="8"/>
      <c r="O114" s="8"/>
      <c r="P114" s="3"/>
    </row>
    <row r="115" spans="1:16" x14ac:dyDescent="0.25">
      <c r="A115" s="17"/>
      <c r="B115" s="8"/>
      <c r="C115" s="8"/>
      <c r="D115" s="8"/>
      <c r="E115" s="3"/>
      <c r="F115" s="8"/>
      <c r="G115" s="8"/>
      <c r="O115" s="8"/>
      <c r="P115" s="3"/>
    </row>
    <row r="116" spans="1:16" x14ac:dyDescent="0.25">
      <c r="A116" s="17"/>
      <c r="B116" s="8"/>
      <c r="C116" s="8"/>
      <c r="D116" s="8"/>
      <c r="E116" s="3"/>
      <c r="F116" s="8"/>
      <c r="G116" s="8"/>
      <c r="O116" s="8"/>
      <c r="P116" s="3"/>
    </row>
    <row r="117" spans="1:16" x14ac:dyDescent="0.25">
      <c r="A117" s="17"/>
      <c r="B117" s="8"/>
      <c r="C117" s="8"/>
      <c r="D117" s="8"/>
      <c r="E117" s="3"/>
      <c r="F117" s="8"/>
      <c r="G117" s="8"/>
      <c r="O117" s="8"/>
      <c r="P117" s="3"/>
    </row>
    <row r="118" spans="1:16" x14ac:dyDescent="0.25">
      <c r="A118" s="17"/>
      <c r="B118" s="8"/>
      <c r="C118" s="8"/>
      <c r="D118" s="8"/>
      <c r="E118" s="3"/>
      <c r="F118" s="8"/>
      <c r="G118" s="8"/>
      <c r="O118" s="8"/>
      <c r="P118" s="3"/>
    </row>
    <row r="119" spans="1:16" x14ac:dyDescent="0.25">
      <c r="A119" s="17"/>
      <c r="B119" s="8"/>
      <c r="C119" s="8"/>
      <c r="D119" s="8"/>
      <c r="E119" s="3"/>
      <c r="F119" s="8"/>
      <c r="G119" s="8"/>
      <c r="O119" s="8"/>
      <c r="P119" s="3"/>
    </row>
    <row r="120" spans="1:16" x14ac:dyDescent="0.25">
      <c r="A120" s="17"/>
      <c r="B120" s="8"/>
      <c r="C120" s="8"/>
      <c r="D120" s="8"/>
      <c r="E120" s="3"/>
      <c r="F120" s="8"/>
      <c r="G120" s="8"/>
      <c r="O120" s="8"/>
      <c r="P120" s="3"/>
    </row>
    <row r="121" spans="1:16" x14ac:dyDescent="0.25">
      <c r="A121" s="17"/>
      <c r="B121" s="8"/>
      <c r="C121" s="8"/>
      <c r="D121" s="8"/>
      <c r="E121" s="3"/>
      <c r="F121" s="8"/>
      <c r="G121" s="8"/>
      <c r="O121" s="8"/>
      <c r="P121" s="3"/>
    </row>
    <row r="122" spans="1:16" x14ac:dyDescent="0.25">
      <c r="A122" s="17"/>
      <c r="B122" s="8"/>
      <c r="C122" s="8"/>
      <c r="D122" s="8"/>
      <c r="E122" s="3"/>
      <c r="F122" s="8"/>
      <c r="G122" s="8"/>
      <c r="O122" s="8"/>
      <c r="P122" s="3"/>
    </row>
    <row r="123" spans="1:16" x14ac:dyDescent="0.25">
      <c r="A123" s="17"/>
      <c r="B123" s="8"/>
      <c r="C123" s="8"/>
      <c r="D123" s="8"/>
      <c r="E123" s="3"/>
      <c r="F123" s="8"/>
      <c r="G123" s="8"/>
      <c r="O123" s="8"/>
      <c r="P123" s="3"/>
    </row>
    <row r="124" spans="1:16" x14ac:dyDescent="0.25">
      <c r="A124" s="17"/>
      <c r="B124" s="8"/>
      <c r="C124" s="8"/>
      <c r="D124" s="8"/>
      <c r="E124" s="3"/>
      <c r="F124" s="8"/>
      <c r="G124" s="8"/>
      <c r="O124" s="8"/>
      <c r="P124" s="3"/>
    </row>
    <row r="125" spans="1:16" x14ac:dyDescent="0.25">
      <c r="A125" s="17"/>
      <c r="B125" s="8"/>
      <c r="C125" s="8"/>
      <c r="D125" s="8"/>
      <c r="E125" s="3"/>
      <c r="F125" s="8"/>
      <c r="G125" s="8"/>
      <c r="O125" s="8"/>
      <c r="P125" s="3"/>
    </row>
    <row r="126" spans="1:16" x14ac:dyDescent="0.25">
      <c r="A126" s="17"/>
      <c r="B126" s="8"/>
      <c r="C126" s="8"/>
      <c r="D126" s="8"/>
      <c r="E126" s="3"/>
      <c r="F126" s="8"/>
      <c r="G126" s="8"/>
      <c r="O126" s="8"/>
      <c r="P126" s="3"/>
    </row>
    <row r="127" spans="1:16" x14ac:dyDescent="0.25">
      <c r="A127" s="17"/>
      <c r="B127" s="8"/>
      <c r="C127" s="8"/>
      <c r="D127" s="8"/>
      <c r="E127" s="3"/>
      <c r="F127" s="8"/>
      <c r="G127" s="8"/>
      <c r="O127" s="8"/>
      <c r="P127" s="3"/>
    </row>
    <row r="128" spans="1:16" x14ac:dyDescent="0.25">
      <c r="A128" s="17"/>
      <c r="B128" s="8"/>
      <c r="C128" s="8"/>
      <c r="D128" s="8"/>
      <c r="E128" s="3"/>
      <c r="F128" s="8"/>
      <c r="G128" s="8"/>
      <c r="O128" s="8"/>
      <c r="P128" s="3"/>
    </row>
    <row r="129" spans="1:16" x14ac:dyDescent="0.25">
      <c r="A129" s="17"/>
      <c r="B129" s="8"/>
      <c r="C129" s="8"/>
      <c r="D129" s="8"/>
      <c r="E129" s="3"/>
      <c r="F129" s="8"/>
      <c r="G129" s="8"/>
      <c r="O129" s="8"/>
      <c r="P129" s="3"/>
    </row>
    <row r="130" spans="1:16" x14ac:dyDescent="0.25">
      <c r="A130" s="17"/>
      <c r="B130" s="8"/>
      <c r="C130" s="8"/>
      <c r="D130" s="8"/>
      <c r="E130" s="3"/>
      <c r="F130" s="8"/>
      <c r="G130" s="8"/>
      <c r="O130" s="8"/>
      <c r="P130" s="3"/>
    </row>
    <row r="131" spans="1:16" x14ac:dyDescent="0.25">
      <c r="A131" s="17"/>
      <c r="B131" s="8"/>
      <c r="C131" s="8"/>
      <c r="D131" s="8"/>
      <c r="E131" s="3"/>
      <c r="F131" s="8"/>
      <c r="G131" s="8"/>
      <c r="O131" s="8"/>
      <c r="P131" s="3"/>
    </row>
    <row r="132" spans="1:16" x14ac:dyDescent="0.25">
      <c r="A132" s="17"/>
      <c r="B132" s="8"/>
      <c r="C132" s="8"/>
      <c r="D132" s="8"/>
      <c r="E132" s="3"/>
      <c r="F132" s="8"/>
      <c r="G132" s="8"/>
      <c r="O132" s="8"/>
      <c r="P132" s="3"/>
    </row>
    <row r="133" spans="1:16" x14ac:dyDescent="0.25">
      <c r="A133" s="17"/>
      <c r="B133" s="8"/>
      <c r="C133" s="8"/>
      <c r="D133" s="8"/>
      <c r="E133" s="3"/>
      <c r="F133" s="8"/>
      <c r="G133" s="8"/>
      <c r="O133" s="8"/>
      <c r="P133" s="3"/>
    </row>
    <row r="134" spans="1:16" x14ac:dyDescent="0.25">
      <c r="A134" s="17"/>
      <c r="B134" s="8"/>
      <c r="C134" s="8"/>
      <c r="D134" s="8"/>
      <c r="E134" s="3"/>
      <c r="F134" s="8"/>
      <c r="G134" s="8"/>
      <c r="O134" s="8"/>
      <c r="P134" s="3"/>
    </row>
    <row r="135" spans="1:16" x14ac:dyDescent="0.25">
      <c r="A135" s="17"/>
      <c r="B135" s="8"/>
      <c r="C135" s="8"/>
      <c r="D135" s="8"/>
      <c r="E135" s="3"/>
      <c r="F135" s="8"/>
      <c r="G135" s="8"/>
      <c r="O135" s="8"/>
      <c r="P135" s="3"/>
    </row>
    <row r="136" spans="1:16" x14ac:dyDescent="0.25">
      <c r="A136" s="17"/>
      <c r="B136" s="8"/>
      <c r="C136" s="8"/>
      <c r="D136" s="8"/>
      <c r="E136" s="3"/>
      <c r="F136" s="8"/>
      <c r="G136" s="8"/>
      <c r="O136" s="8"/>
      <c r="P136" s="3"/>
    </row>
    <row r="137" spans="1:16" x14ac:dyDescent="0.25">
      <c r="A137" s="17"/>
      <c r="B137" s="8"/>
      <c r="C137" s="8"/>
      <c r="D137" s="8"/>
      <c r="E137" s="3"/>
      <c r="F137" s="8"/>
      <c r="G137" s="8"/>
      <c r="O137" s="8"/>
      <c r="P137" s="3"/>
    </row>
    <row r="138" spans="1:16" x14ac:dyDescent="0.25">
      <c r="A138" s="17"/>
      <c r="B138" s="8"/>
      <c r="C138" s="8"/>
      <c r="D138" s="8"/>
      <c r="E138" s="3"/>
      <c r="F138" s="8"/>
      <c r="G138" s="8"/>
      <c r="O138" s="8"/>
      <c r="P138" s="3"/>
    </row>
    <row r="139" spans="1:16" x14ac:dyDescent="0.25">
      <c r="A139" s="17"/>
      <c r="B139" s="8"/>
      <c r="C139" s="8"/>
      <c r="D139" s="8"/>
      <c r="E139" s="3"/>
      <c r="F139" s="8"/>
      <c r="G139" s="8"/>
      <c r="O139" s="8"/>
      <c r="P139" s="3"/>
    </row>
    <row r="140" spans="1:16" x14ac:dyDescent="0.25">
      <c r="A140" s="17"/>
      <c r="B140" s="8"/>
      <c r="C140" s="8"/>
      <c r="D140" s="8"/>
      <c r="E140" s="3"/>
      <c r="F140" s="8"/>
      <c r="G140" s="8"/>
      <c r="O140" s="8"/>
      <c r="P140" s="3"/>
    </row>
    <row r="141" spans="1:16" x14ac:dyDescent="0.25">
      <c r="A141" s="17"/>
      <c r="B141" s="8"/>
      <c r="C141" s="8"/>
      <c r="D141" s="8"/>
      <c r="E141" s="3"/>
      <c r="F141" s="8"/>
      <c r="G141" s="8"/>
      <c r="O141" s="8"/>
      <c r="P141" s="3"/>
    </row>
    <row r="142" spans="1:16" x14ac:dyDescent="0.25">
      <c r="A142" s="17"/>
      <c r="B142" s="8"/>
      <c r="C142" s="8"/>
      <c r="D142" s="8"/>
      <c r="E142" s="3"/>
      <c r="F142" s="8"/>
      <c r="G142" s="8"/>
      <c r="O142" s="8"/>
      <c r="P142" s="3"/>
    </row>
    <row r="143" spans="1:16" x14ac:dyDescent="0.25">
      <c r="A143" s="17"/>
      <c r="B143" s="8"/>
      <c r="C143" s="8"/>
      <c r="D143" s="8"/>
      <c r="E143" s="3"/>
      <c r="F143" s="8"/>
      <c r="G143" s="8"/>
      <c r="O143" s="8"/>
      <c r="P143" s="3"/>
    </row>
    <row r="144" spans="1:16" x14ac:dyDescent="0.25">
      <c r="A144" s="17"/>
      <c r="B144" s="8"/>
      <c r="C144" s="8"/>
      <c r="D144" s="8"/>
      <c r="E144" s="3"/>
      <c r="F144" s="8"/>
      <c r="G144" s="8"/>
      <c r="O144" s="8"/>
      <c r="P144" s="3"/>
    </row>
    <row r="145" spans="1:16" x14ac:dyDescent="0.25">
      <c r="A145" s="17"/>
      <c r="B145" s="8"/>
      <c r="C145" s="8"/>
      <c r="D145" s="8"/>
      <c r="E145" s="3"/>
      <c r="F145" s="8"/>
      <c r="G145" s="8"/>
      <c r="O145" s="8"/>
      <c r="P145" s="3"/>
    </row>
    <row r="146" spans="1:16" x14ac:dyDescent="0.25">
      <c r="A146" s="17"/>
      <c r="B146" s="8"/>
      <c r="C146" s="8"/>
      <c r="D146" s="8"/>
      <c r="E146" s="3"/>
      <c r="F146" s="8"/>
      <c r="G146" s="8"/>
      <c r="O146" s="8"/>
      <c r="P146" s="3"/>
    </row>
    <row r="147" spans="1:16" x14ac:dyDescent="0.25">
      <c r="A147" s="17"/>
      <c r="B147" s="8"/>
      <c r="C147" s="8"/>
      <c r="D147" s="8"/>
      <c r="E147" s="3"/>
      <c r="F147" s="8"/>
      <c r="G147" s="8"/>
      <c r="O147" s="8"/>
      <c r="P147" s="3"/>
    </row>
    <row r="148" spans="1:16" x14ac:dyDescent="0.25">
      <c r="A148" s="17"/>
      <c r="B148" s="8"/>
      <c r="C148" s="8"/>
      <c r="D148" s="8"/>
      <c r="E148" s="3"/>
      <c r="F148" s="8"/>
      <c r="G148" s="8"/>
      <c r="O148" s="8"/>
      <c r="P148" s="3"/>
    </row>
    <row r="149" spans="1:16" x14ac:dyDescent="0.25">
      <c r="A149" s="17"/>
      <c r="B149" s="8"/>
      <c r="C149" s="8"/>
      <c r="D149" s="8"/>
      <c r="E149" s="3"/>
      <c r="F149" s="8"/>
      <c r="G149" s="8"/>
      <c r="O149" s="8"/>
      <c r="P149" s="3"/>
    </row>
    <row r="150" spans="1:16" x14ac:dyDescent="0.25">
      <c r="A150" s="17"/>
      <c r="B150" s="8"/>
      <c r="C150" s="8"/>
      <c r="D150" s="8"/>
      <c r="E150" s="3"/>
      <c r="F150" s="8"/>
      <c r="G150" s="8"/>
      <c r="O150" s="8"/>
      <c r="P150" s="3"/>
    </row>
    <row r="151" spans="1:16" x14ac:dyDescent="0.25">
      <c r="A151" s="17"/>
      <c r="B151" s="8"/>
      <c r="C151" s="8"/>
      <c r="D151" s="8"/>
      <c r="E151" s="3"/>
      <c r="F151" s="8"/>
      <c r="G151" s="8"/>
      <c r="O151" s="8"/>
      <c r="P151" s="3"/>
    </row>
    <row r="152" spans="1:16" x14ac:dyDescent="0.25">
      <c r="A152" s="17"/>
      <c r="B152" s="8"/>
      <c r="C152" s="8"/>
      <c r="D152" s="8"/>
      <c r="E152" s="3"/>
      <c r="F152" s="8"/>
      <c r="G152" s="8"/>
      <c r="O152" s="8"/>
      <c r="P152" s="3"/>
    </row>
    <row r="153" spans="1:16" x14ac:dyDescent="0.25">
      <c r="A153" s="17"/>
      <c r="B153" s="8"/>
      <c r="C153" s="8"/>
      <c r="D153" s="8"/>
      <c r="E153" s="3"/>
      <c r="F153" s="8"/>
      <c r="G153" s="8"/>
      <c r="O153" s="8"/>
      <c r="P153" s="3"/>
    </row>
    <row r="154" spans="1:16" x14ac:dyDescent="0.25">
      <c r="A154" s="17"/>
      <c r="B154" s="8"/>
      <c r="C154" s="8"/>
      <c r="D154" s="8"/>
      <c r="E154" s="3"/>
      <c r="F154" s="8"/>
      <c r="G154" s="8"/>
      <c r="O154" s="8"/>
      <c r="P154" s="3"/>
    </row>
    <row r="155" spans="1:16" x14ac:dyDescent="0.25">
      <c r="A155" s="17"/>
      <c r="B155" s="8"/>
      <c r="C155" s="8"/>
      <c r="D155" s="8"/>
      <c r="E155" s="3"/>
      <c r="F155" s="8"/>
      <c r="G155" s="8"/>
      <c r="O155" s="8"/>
      <c r="P155" s="3"/>
    </row>
    <row r="156" spans="1:16" x14ac:dyDescent="0.25">
      <c r="A156" s="17"/>
      <c r="B156" s="8"/>
      <c r="C156" s="8"/>
      <c r="D156" s="8"/>
      <c r="E156" s="3"/>
      <c r="F156" s="8"/>
      <c r="G156" s="8"/>
      <c r="O156" s="8"/>
      <c r="P156" s="3"/>
    </row>
    <row r="157" spans="1:16" x14ac:dyDescent="0.25">
      <c r="A157" s="17"/>
      <c r="B157" s="8"/>
      <c r="C157" s="8"/>
      <c r="D157" s="8"/>
      <c r="E157" s="3"/>
      <c r="F157" s="8"/>
      <c r="G157" s="8"/>
      <c r="O157" s="8"/>
      <c r="P157" s="3"/>
    </row>
    <row r="158" spans="1:16" x14ac:dyDescent="0.25">
      <c r="A158" s="17"/>
      <c r="B158" s="8"/>
      <c r="C158" s="8"/>
      <c r="D158" s="8"/>
      <c r="E158" s="3"/>
      <c r="F158" s="8"/>
      <c r="G158" s="8"/>
      <c r="O158" s="8"/>
      <c r="P158" s="3"/>
    </row>
    <row r="159" spans="1:16" x14ac:dyDescent="0.25">
      <c r="A159" s="17"/>
      <c r="B159" s="8"/>
      <c r="C159" s="8"/>
      <c r="D159" s="8"/>
      <c r="E159" s="3"/>
      <c r="F159" s="8"/>
      <c r="G159" s="8"/>
      <c r="O159" s="8"/>
      <c r="P159" s="3"/>
    </row>
    <row r="160" spans="1:16" x14ac:dyDescent="0.25">
      <c r="A160" s="17"/>
      <c r="B160" s="8"/>
      <c r="C160" s="8"/>
      <c r="D160" s="8"/>
      <c r="E160" s="3"/>
      <c r="F160" s="8"/>
      <c r="G160" s="8"/>
      <c r="O160" s="8"/>
      <c r="P160" s="3"/>
    </row>
    <row r="161" spans="1:16" x14ac:dyDescent="0.25">
      <c r="A161" s="17"/>
      <c r="B161" s="8"/>
      <c r="C161" s="8"/>
      <c r="D161" s="8"/>
      <c r="E161" s="3"/>
      <c r="F161" s="8"/>
      <c r="G161" s="8"/>
      <c r="O161" s="8"/>
      <c r="P161" s="3"/>
    </row>
    <row r="162" spans="1:16" x14ac:dyDescent="0.25">
      <c r="A162" s="17"/>
      <c r="B162" s="8"/>
      <c r="C162" s="8"/>
      <c r="D162" s="8"/>
      <c r="E162" s="3"/>
      <c r="F162" s="8"/>
      <c r="G162" s="8"/>
      <c r="O162" s="8"/>
      <c r="P162" s="3"/>
    </row>
    <row r="163" spans="1:16" x14ac:dyDescent="0.25">
      <c r="A163" s="17"/>
      <c r="B163" s="8"/>
      <c r="C163" s="8"/>
      <c r="D163" s="8"/>
      <c r="E163" s="3"/>
      <c r="F163" s="8"/>
      <c r="G163" s="8"/>
      <c r="O163" s="8"/>
      <c r="P163" s="3"/>
    </row>
    <row r="164" spans="1:16" x14ac:dyDescent="0.25">
      <c r="A164" s="17"/>
      <c r="B164" s="8"/>
      <c r="C164" s="8"/>
      <c r="D164" s="8"/>
      <c r="E164" s="3"/>
      <c r="F164" s="8"/>
      <c r="G164" s="8"/>
      <c r="O164" s="8"/>
      <c r="P164" s="3"/>
    </row>
    <row r="165" spans="1:16" x14ac:dyDescent="0.25">
      <c r="A165" s="17"/>
      <c r="B165" s="8"/>
      <c r="C165" s="8"/>
      <c r="D165" s="8"/>
      <c r="E165" s="3"/>
      <c r="F165" s="8"/>
      <c r="G165" s="8"/>
      <c r="O165" s="8"/>
      <c r="P165" s="3"/>
    </row>
    <row r="166" spans="1:16" x14ac:dyDescent="0.25">
      <c r="A166" s="17"/>
      <c r="B166" s="8"/>
      <c r="C166" s="8"/>
      <c r="D166" s="8"/>
      <c r="E166" s="3"/>
      <c r="F166" s="8"/>
      <c r="G166" s="8"/>
      <c r="O166" s="8"/>
      <c r="P166" s="3"/>
    </row>
    <row r="167" spans="1:16" x14ac:dyDescent="0.25">
      <c r="A167" s="17"/>
      <c r="B167" s="8"/>
      <c r="C167" s="8"/>
      <c r="D167" s="8"/>
      <c r="E167" s="3"/>
      <c r="F167" s="8"/>
      <c r="G167" s="8"/>
      <c r="O167" s="8"/>
      <c r="P167" s="3"/>
    </row>
    <row r="168" spans="1:16" x14ac:dyDescent="0.25">
      <c r="A168" s="17"/>
      <c r="B168" s="8"/>
      <c r="C168" s="8"/>
      <c r="D168" s="8"/>
      <c r="E168" s="3"/>
      <c r="F168" s="8"/>
      <c r="G168" s="8"/>
      <c r="O168" s="8"/>
      <c r="P168" s="3"/>
    </row>
    <row r="169" spans="1:16" x14ac:dyDescent="0.25">
      <c r="A169" s="17"/>
      <c r="B169" s="8"/>
      <c r="C169" s="8"/>
      <c r="D169" s="8"/>
      <c r="E169" s="3"/>
      <c r="F169" s="8"/>
      <c r="G169" s="8"/>
      <c r="O169" s="8"/>
      <c r="P169" s="3"/>
    </row>
    <row r="170" spans="1:16" x14ac:dyDescent="0.25">
      <c r="A170" s="17"/>
      <c r="B170" s="8"/>
      <c r="C170" s="8"/>
      <c r="D170" s="8"/>
      <c r="E170" s="3"/>
      <c r="F170" s="8"/>
      <c r="G170" s="8"/>
      <c r="O170" s="8"/>
      <c r="P170" s="3"/>
    </row>
    <row r="171" spans="1:16" x14ac:dyDescent="0.25">
      <c r="A171" s="17"/>
      <c r="B171" s="8"/>
      <c r="C171" s="8"/>
      <c r="D171" s="8"/>
      <c r="E171" s="3"/>
      <c r="F171" s="8"/>
      <c r="G171" s="8"/>
      <c r="O171" s="8"/>
      <c r="P171" s="3"/>
    </row>
    <row r="172" spans="1:16" x14ac:dyDescent="0.25">
      <c r="A172" s="17"/>
      <c r="B172" s="8"/>
      <c r="C172" s="8"/>
      <c r="D172" s="8"/>
      <c r="E172" s="3"/>
      <c r="F172" s="8"/>
      <c r="G172" s="8"/>
      <c r="O172" s="8"/>
      <c r="P172" s="3"/>
    </row>
    <row r="173" spans="1:16" x14ac:dyDescent="0.25">
      <c r="A173" s="17"/>
      <c r="B173" s="8"/>
      <c r="C173" s="8"/>
      <c r="D173" s="8"/>
      <c r="E173" s="3"/>
      <c r="F173" s="8"/>
      <c r="G173" s="8"/>
      <c r="O173" s="8"/>
      <c r="P173" s="3"/>
    </row>
    <row r="174" spans="1:16" x14ac:dyDescent="0.25">
      <c r="A174" s="17"/>
      <c r="B174" s="8"/>
      <c r="C174" s="8"/>
      <c r="D174" s="8"/>
      <c r="E174" s="3"/>
      <c r="F174" s="8"/>
      <c r="G174" s="8"/>
      <c r="O174" s="8"/>
      <c r="P174" s="3"/>
    </row>
    <row r="175" spans="1:16" x14ac:dyDescent="0.25">
      <c r="A175" s="17"/>
      <c r="B175" s="8"/>
      <c r="C175" s="8"/>
      <c r="D175" s="8"/>
      <c r="E175" s="3"/>
      <c r="F175" s="8"/>
      <c r="G175" s="8"/>
      <c r="O175" s="8"/>
      <c r="P175" s="3"/>
    </row>
    <row r="176" spans="1:16" x14ac:dyDescent="0.25">
      <c r="A176" s="17"/>
      <c r="B176" s="8"/>
      <c r="C176" s="8"/>
      <c r="D176" s="8"/>
      <c r="E176" s="3"/>
      <c r="F176" s="8"/>
      <c r="G176" s="8"/>
      <c r="O176" s="8"/>
      <c r="P176" s="3"/>
    </row>
    <row r="177" spans="1:16" x14ac:dyDescent="0.25">
      <c r="A177" s="17"/>
      <c r="B177" s="8"/>
      <c r="C177" s="8"/>
      <c r="D177" s="8"/>
      <c r="E177" s="3"/>
      <c r="F177" s="8"/>
      <c r="G177" s="8"/>
      <c r="O177" s="8"/>
      <c r="P177" s="3"/>
    </row>
    <row r="178" spans="1:16" x14ac:dyDescent="0.25">
      <c r="A178" s="17"/>
      <c r="B178" s="8"/>
      <c r="C178" s="8"/>
      <c r="D178" s="8"/>
      <c r="E178" s="3"/>
      <c r="F178" s="8"/>
      <c r="G178" s="8"/>
      <c r="O178" s="8"/>
      <c r="P178" s="3"/>
    </row>
    <row r="179" spans="1:16" x14ac:dyDescent="0.25">
      <c r="A179" s="17"/>
      <c r="B179" s="8"/>
      <c r="C179" s="8"/>
      <c r="D179" s="8"/>
      <c r="E179" s="3"/>
      <c r="F179" s="8"/>
      <c r="G179" s="8"/>
      <c r="O179" s="8"/>
      <c r="P179" s="3"/>
    </row>
    <row r="180" spans="1:16" x14ac:dyDescent="0.25">
      <c r="A180" s="17"/>
      <c r="B180" s="8"/>
      <c r="C180" s="8"/>
      <c r="D180" s="8"/>
      <c r="E180" s="3"/>
      <c r="F180" s="8"/>
      <c r="G180" s="8"/>
      <c r="O180" s="8"/>
      <c r="P180" s="3"/>
    </row>
    <row r="181" spans="1:16" x14ac:dyDescent="0.25">
      <c r="A181" s="17"/>
      <c r="B181" s="8"/>
      <c r="C181" s="8"/>
      <c r="D181" s="8"/>
      <c r="E181" s="3"/>
      <c r="F181" s="8"/>
      <c r="G181" s="8"/>
      <c r="O181" s="8"/>
      <c r="P181" s="3"/>
    </row>
    <row r="182" spans="1:16" x14ac:dyDescent="0.25">
      <c r="A182" s="17"/>
      <c r="B182" s="8"/>
      <c r="C182" s="8"/>
      <c r="D182" s="8"/>
      <c r="E182" s="3"/>
      <c r="F182" s="8"/>
      <c r="G182" s="8"/>
      <c r="O182" s="8"/>
      <c r="P182" s="3"/>
    </row>
    <row r="183" spans="1:16" x14ac:dyDescent="0.25">
      <c r="A183" s="17"/>
      <c r="B183" s="8"/>
      <c r="C183" s="8"/>
      <c r="D183" s="8"/>
      <c r="E183" s="3"/>
      <c r="F183" s="8"/>
      <c r="G183" s="8"/>
      <c r="O183" s="8"/>
      <c r="P183" s="3"/>
    </row>
    <row r="184" spans="1:16" x14ac:dyDescent="0.25">
      <c r="A184" s="17"/>
      <c r="B184" s="8"/>
      <c r="C184" s="8"/>
      <c r="D184" s="8"/>
      <c r="E184" s="3"/>
      <c r="F184" s="8"/>
      <c r="G184" s="8"/>
      <c r="O184" s="8"/>
      <c r="P184" s="3"/>
    </row>
    <row r="185" spans="1:16" x14ac:dyDescent="0.25">
      <c r="A185" s="17"/>
      <c r="B185" s="8"/>
      <c r="C185" s="8"/>
      <c r="D185" s="8"/>
      <c r="E185" s="3"/>
      <c r="F185" s="8"/>
      <c r="G185" s="8"/>
      <c r="O185" s="8"/>
      <c r="P185" s="3"/>
    </row>
    <row r="186" spans="1:16" x14ac:dyDescent="0.25">
      <c r="A186" s="17"/>
      <c r="B186" s="8"/>
      <c r="C186" s="8"/>
      <c r="D186" s="8"/>
      <c r="E186" s="3"/>
      <c r="F186" s="8"/>
      <c r="G186" s="8"/>
      <c r="O186" s="8"/>
      <c r="P186" s="3"/>
    </row>
    <row r="187" spans="1:16" x14ac:dyDescent="0.25">
      <c r="A187" s="17"/>
      <c r="B187" s="8"/>
      <c r="C187" s="8"/>
      <c r="D187" s="8"/>
      <c r="E187" s="3"/>
      <c r="F187" s="8"/>
      <c r="G187" s="8"/>
      <c r="O187" s="8"/>
      <c r="P187" s="3"/>
    </row>
    <row r="188" spans="1:16" x14ac:dyDescent="0.25">
      <c r="A188" s="17"/>
      <c r="B188" s="8"/>
      <c r="C188" s="8"/>
      <c r="D188" s="8"/>
      <c r="E188" s="3"/>
      <c r="F188" s="8"/>
      <c r="G188" s="8"/>
      <c r="O188" s="8"/>
      <c r="P188" s="3"/>
    </row>
    <row r="189" spans="1:16" x14ac:dyDescent="0.25">
      <c r="A189" s="17"/>
      <c r="B189" s="8"/>
      <c r="C189" s="8"/>
      <c r="D189" s="8"/>
      <c r="E189" s="3"/>
      <c r="F189" s="8"/>
      <c r="G189" s="8"/>
      <c r="O189" s="8"/>
      <c r="P189" s="3"/>
    </row>
    <row r="190" spans="1:16" x14ac:dyDescent="0.25">
      <c r="A190" s="17"/>
      <c r="B190" s="8"/>
      <c r="C190" s="8"/>
      <c r="D190" s="8"/>
      <c r="E190" s="3"/>
      <c r="F190" s="8"/>
      <c r="G190" s="8"/>
      <c r="O190" s="8"/>
      <c r="P190" s="3"/>
    </row>
    <row r="191" spans="1:16" x14ac:dyDescent="0.25">
      <c r="A191" s="17"/>
      <c r="B191" s="8"/>
      <c r="C191" s="8"/>
      <c r="D191" s="8"/>
      <c r="E191" s="3"/>
      <c r="F191" s="8"/>
      <c r="G191" s="8"/>
      <c r="O191" s="8"/>
      <c r="P191" s="3"/>
    </row>
    <row r="192" spans="1:16" x14ac:dyDescent="0.25">
      <c r="A192" s="17"/>
      <c r="B192" s="8"/>
      <c r="C192" s="8"/>
      <c r="D192" s="8"/>
      <c r="E192" s="3"/>
      <c r="F192" s="8"/>
      <c r="G192" s="8"/>
      <c r="O192" s="8"/>
      <c r="P192" s="3"/>
    </row>
    <row r="193" spans="1:16" x14ac:dyDescent="0.25">
      <c r="A193" s="17"/>
      <c r="B193" s="8"/>
      <c r="C193" s="8"/>
      <c r="D193" s="8"/>
      <c r="E193" s="3"/>
      <c r="F193" s="8"/>
      <c r="G193" s="8"/>
      <c r="O193" s="8"/>
      <c r="P193" s="3"/>
    </row>
    <row r="194" spans="1:16" x14ac:dyDescent="0.25">
      <c r="A194" s="17"/>
      <c r="B194" s="8"/>
      <c r="C194" s="8"/>
      <c r="D194" s="8"/>
      <c r="E194" s="3"/>
      <c r="F194" s="8"/>
      <c r="G194" s="8"/>
      <c r="O194" s="8"/>
      <c r="P194" s="3"/>
    </row>
    <row r="195" spans="1:16" x14ac:dyDescent="0.25">
      <c r="A195" s="17"/>
      <c r="B195" s="8"/>
      <c r="C195" s="8"/>
      <c r="D195" s="8"/>
      <c r="E195" s="3"/>
      <c r="F195" s="8"/>
      <c r="G195" s="8"/>
      <c r="O195" s="8"/>
      <c r="P195" s="3"/>
    </row>
    <row r="196" spans="1:16" x14ac:dyDescent="0.25">
      <c r="A196" s="17"/>
      <c r="B196" s="8"/>
      <c r="C196" s="8"/>
      <c r="D196" s="8"/>
      <c r="E196" s="3"/>
      <c r="F196" s="8"/>
      <c r="G196" s="8"/>
      <c r="O196" s="8"/>
      <c r="P196" s="3"/>
    </row>
    <row r="197" spans="1:16" x14ac:dyDescent="0.25">
      <c r="A197" s="17"/>
      <c r="B197" s="8"/>
      <c r="C197" s="8"/>
      <c r="D197" s="8"/>
      <c r="E197" s="3"/>
      <c r="F197" s="8"/>
      <c r="G197" s="8"/>
      <c r="O197" s="8"/>
      <c r="P197" s="3"/>
    </row>
    <row r="198" spans="1:16" x14ac:dyDescent="0.25">
      <c r="A198" s="17"/>
      <c r="B198" s="8"/>
      <c r="C198" s="8"/>
      <c r="D198" s="8"/>
      <c r="E198" s="3"/>
      <c r="F198" s="8"/>
      <c r="G198" s="8"/>
      <c r="O198" s="8"/>
      <c r="P198" s="3"/>
    </row>
    <row r="199" spans="1:16" x14ac:dyDescent="0.25">
      <c r="A199" s="17"/>
      <c r="B199" s="8"/>
      <c r="C199" s="8"/>
      <c r="D199" s="8"/>
      <c r="E199" s="3"/>
      <c r="F199" s="8"/>
      <c r="G199" s="8"/>
      <c r="O199" s="8"/>
      <c r="P199" s="3"/>
    </row>
    <row r="200" spans="1:16" x14ac:dyDescent="0.25">
      <c r="A200" s="17"/>
      <c r="B200" s="8"/>
      <c r="C200" s="8"/>
      <c r="D200" s="8"/>
      <c r="E200" s="3"/>
      <c r="F200" s="8"/>
      <c r="G200" s="8"/>
      <c r="O200" s="8"/>
      <c r="P200" s="3"/>
    </row>
    <row r="201" spans="1:16" x14ac:dyDescent="0.25">
      <c r="A201" s="17"/>
      <c r="B201" s="8"/>
      <c r="C201" s="8"/>
      <c r="D201" s="8"/>
      <c r="E201" s="3"/>
      <c r="F201" s="8"/>
      <c r="G201" s="8"/>
      <c r="O201" s="8"/>
      <c r="P201" s="3"/>
    </row>
    <row r="202" spans="1:16" x14ac:dyDescent="0.25">
      <c r="A202" s="17"/>
      <c r="B202" s="8"/>
      <c r="C202" s="8"/>
      <c r="D202" s="8"/>
      <c r="E202" s="3"/>
      <c r="F202" s="8"/>
      <c r="G202" s="8"/>
      <c r="O202" s="8"/>
      <c r="P202" s="3"/>
    </row>
    <row r="203" spans="1:16" x14ac:dyDescent="0.25">
      <c r="A203" s="17"/>
      <c r="B203" s="8"/>
      <c r="C203" s="8"/>
      <c r="D203" s="8"/>
      <c r="E203" s="3"/>
      <c r="F203" s="8"/>
      <c r="G203" s="8"/>
      <c r="O203" s="8"/>
      <c r="P203" s="3"/>
    </row>
    <row r="204" spans="1:16" x14ac:dyDescent="0.25">
      <c r="A204" s="17"/>
      <c r="B204" s="8"/>
      <c r="C204" s="8"/>
      <c r="D204" s="8"/>
      <c r="E204" s="3"/>
      <c r="F204" s="8"/>
      <c r="G204" s="8"/>
      <c r="O204" s="8"/>
      <c r="P204" s="3"/>
    </row>
    <row r="205" spans="1:16" x14ac:dyDescent="0.25">
      <c r="A205" s="17"/>
      <c r="B205" s="8"/>
      <c r="C205" s="8"/>
      <c r="D205" s="8"/>
      <c r="E205" s="3"/>
      <c r="F205" s="8"/>
      <c r="G205" s="8"/>
      <c r="O205" s="8"/>
      <c r="P205" s="3"/>
    </row>
    <row r="206" spans="1:16" x14ac:dyDescent="0.25">
      <c r="A206" s="17"/>
      <c r="B206" s="8"/>
      <c r="C206" s="8"/>
      <c r="D206" s="8"/>
      <c r="E206" s="3"/>
      <c r="F206" s="8"/>
      <c r="G206" s="8"/>
      <c r="O206" s="8"/>
      <c r="P206" s="3"/>
    </row>
    <row r="207" spans="1:16" x14ac:dyDescent="0.25">
      <c r="A207" s="17"/>
      <c r="B207" s="8"/>
      <c r="C207" s="8"/>
      <c r="D207" s="8"/>
      <c r="E207" s="3"/>
      <c r="F207" s="8"/>
      <c r="G207" s="8"/>
      <c r="O207" s="8"/>
      <c r="P207" s="3"/>
    </row>
    <row r="208" spans="1:16" x14ac:dyDescent="0.25">
      <c r="A208" s="17"/>
      <c r="B208" s="8"/>
      <c r="C208" s="8"/>
      <c r="D208" s="8"/>
      <c r="E208" s="3"/>
      <c r="F208" s="8"/>
      <c r="G208" s="8"/>
      <c r="O208" s="8"/>
      <c r="P208" s="3"/>
    </row>
    <row r="209" spans="1:16" x14ac:dyDescent="0.25">
      <c r="A209" s="17"/>
      <c r="B209" s="8"/>
      <c r="C209" s="8"/>
      <c r="D209" s="8"/>
      <c r="E209" s="3"/>
      <c r="F209" s="8"/>
      <c r="G209" s="8"/>
      <c r="O209" s="8"/>
      <c r="P209" s="3"/>
    </row>
    <row r="210" spans="1:16" x14ac:dyDescent="0.25">
      <c r="A210" s="17"/>
      <c r="B210" s="8"/>
      <c r="C210" s="8"/>
      <c r="D210" s="8"/>
      <c r="E210" s="3"/>
      <c r="F210" s="8"/>
      <c r="G210" s="8"/>
      <c r="O210" s="8"/>
      <c r="P210" s="3"/>
    </row>
    <row r="211" spans="1:16" x14ac:dyDescent="0.25">
      <c r="A211" s="17"/>
      <c r="B211" s="8"/>
      <c r="C211" s="8"/>
      <c r="D211" s="8"/>
      <c r="E211" s="3"/>
      <c r="F211" s="8"/>
      <c r="G211" s="8"/>
      <c r="O211" s="8"/>
      <c r="P2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F9E-C1B1-4E2D-9FE6-506CE57E87B6}">
  <sheetPr codeName="Sheet2"/>
  <dimension ref="A1:X88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312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s="40" customFormat="1" x14ac:dyDescent="0.25">
      <c r="A3" s="39">
        <v>2</v>
      </c>
      <c r="B3" s="4" t="s">
        <v>284</v>
      </c>
      <c r="C3" s="8" t="s">
        <v>186</v>
      </c>
      <c r="D3" s="8" t="s">
        <v>326</v>
      </c>
      <c r="E3" s="3">
        <v>65</v>
      </c>
      <c r="F3" s="4">
        <v>100</v>
      </c>
      <c r="G3" s="4">
        <v>600</v>
      </c>
      <c r="H3" s="4">
        <v>400</v>
      </c>
      <c r="I3" s="4">
        <v>10</v>
      </c>
      <c r="J3" s="34">
        <v>15</v>
      </c>
      <c r="K3" s="2">
        <v>1.0000000000000001E-5</v>
      </c>
      <c r="L3" s="2">
        <v>4.0000000000000001E-8</v>
      </c>
      <c r="M3" s="2"/>
      <c r="N3">
        <v>48</v>
      </c>
      <c r="O3" s="9">
        <v>4890000</v>
      </c>
      <c r="P3" s="3">
        <v>2.78</v>
      </c>
      <c r="Q3" s="9">
        <v>1.0000000000000001E-9</v>
      </c>
      <c r="R3" s="36">
        <v>4.0000000000000002E-4</v>
      </c>
      <c r="S3" s="35">
        <v>5.6000000000000001E-2</v>
      </c>
      <c r="T3" s="35">
        <v>20.010000000000002</v>
      </c>
      <c r="U3" s="35"/>
      <c r="V3" s="35"/>
      <c r="W3" s="35" t="s">
        <v>314</v>
      </c>
      <c r="X3" s="35" t="s">
        <v>313</v>
      </c>
    </row>
    <row r="4" spans="1:24" s="40" customFormat="1" x14ac:dyDescent="0.25">
      <c r="A4" s="41"/>
      <c r="B4" s="35"/>
      <c r="C4" s="35"/>
      <c r="D4" s="35"/>
      <c r="E4" s="15"/>
      <c r="F4" s="35"/>
      <c r="G4" s="35"/>
      <c r="O4" s="35"/>
      <c r="P4" s="15"/>
      <c r="Q4" s="35"/>
      <c r="R4" s="15"/>
      <c r="S4" s="35"/>
      <c r="T4" s="35"/>
      <c r="U4" s="35"/>
      <c r="V4" s="35"/>
      <c r="W4" s="35"/>
      <c r="X4" s="35"/>
    </row>
    <row r="5" spans="1:24" s="40" customFormat="1" x14ac:dyDescent="0.25">
      <c r="A5" s="15"/>
      <c r="B5" s="35"/>
      <c r="C5" s="35"/>
      <c r="D5" s="35"/>
      <c r="E5" s="15"/>
      <c r="I5" s="42"/>
      <c r="O5" s="43"/>
      <c r="P5" s="15"/>
      <c r="Q5" s="35"/>
      <c r="R5" s="15"/>
      <c r="S5" s="35"/>
      <c r="T5" s="35"/>
      <c r="U5" s="35"/>
      <c r="V5" s="35"/>
      <c r="W5" s="35"/>
      <c r="X5" s="35"/>
    </row>
    <row r="6" spans="1:24" s="40" customFormat="1" x14ac:dyDescent="0.25">
      <c r="A6" s="15"/>
      <c r="B6" s="35"/>
      <c r="C6" s="35"/>
      <c r="D6" s="35"/>
      <c r="E6" s="15"/>
      <c r="I6" s="42"/>
      <c r="O6" s="43"/>
      <c r="P6" s="15"/>
      <c r="Q6" s="35"/>
      <c r="R6" s="15"/>
      <c r="S6" s="35"/>
      <c r="T6" s="35"/>
      <c r="U6" s="35"/>
      <c r="V6" s="35"/>
      <c r="W6" s="35"/>
      <c r="X6" s="35"/>
    </row>
    <row r="7" spans="1:24" s="40" customFormat="1" x14ac:dyDescent="0.25">
      <c r="A7" s="15"/>
      <c r="B7" s="35"/>
      <c r="C7" s="35"/>
      <c r="D7" s="35"/>
      <c r="E7" s="15"/>
      <c r="F7" s="35"/>
      <c r="G7" s="35"/>
      <c r="I7" s="42"/>
      <c r="J7" s="42"/>
      <c r="K7" s="42"/>
      <c r="L7" s="42"/>
      <c r="M7" s="42"/>
      <c r="N7" s="35"/>
      <c r="O7" s="44"/>
      <c r="P7" s="15"/>
      <c r="Q7" s="35"/>
      <c r="R7" s="15"/>
      <c r="S7" s="45"/>
      <c r="T7" s="35"/>
      <c r="W7" s="35"/>
    </row>
    <row r="8" spans="1:24" s="40" customFormat="1" x14ac:dyDescent="0.25">
      <c r="A8" s="15"/>
      <c r="B8" s="35"/>
      <c r="C8" s="35"/>
      <c r="D8" s="35"/>
      <c r="E8" s="15"/>
      <c r="F8" s="35"/>
      <c r="G8" s="35"/>
      <c r="I8" s="42"/>
      <c r="J8" s="42"/>
      <c r="K8" s="42"/>
      <c r="L8" s="42"/>
      <c r="M8" s="42"/>
      <c r="N8" s="35"/>
      <c r="O8" s="44"/>
      <c r="P8" s="15"/>
      <c r="Q8" s="35"/>
      <c r="R8" s="15"/>
      <c r="W8" s="35"/>
    </row>
    <row r="9" spans="1:24" s="40" customFormat="1" x14ac:dyDescent="0.25">
      <c r="A9" s="15"/>
      <c r="B9" s="35"/>
      <c r="C9" s="35"/>
      <c r="D9" s="35"/>
      <c r="E9" s="15"/>
      <c r="F9" s="35"/>
      <c r="G9" s="35"/>
      <c r="I9" s="42"/>
      <c r="J9" s="42"/>
      <c r="K9" s="42"/>
      <c r="L9" s="42"/>
      <c r="M9" s="42"/>
      <c r="N9" s="35"/>
      <c r="O9" s="44"/>
      <c r="P9" s="15"/>
      <c r="Q9" s="35"/>
      <c r="R9" s="15"/>
      <c r="W9" s="35"/>
    </row>
    <row r="10" spans="1:24" s="40" customFormat="1" x14ac:dyDescent="0.25">
      <c r="A10" s="15"/>
      <c r="B10" s="35"/>
      <c r="C10" s="35"/>
      <c r="D10" s="35"/>
      <c r="E10" s="15"/>
      <c r="F10" s="35"/>
      <c r="G10" s="35"/>
      <c r="I10" s="42"/>
      <c r="J10" s="42"/>
      <c r="K10" s="42"/>
      <c r="L10" s="42"/>
      <c r="M10" s="42"/>
      <c r="O10" s="43"/>
      <c r="P10" s="15"/>
      <c r="Q10" s="35"/>
      <c r="R10" s="15"/>
      <c r="W10" s="35"/>
    </row>
    <row r="11" spans="1:24" s="40" customFormat="1" x14ac:dyDescent="0.25">
      <c r="A11" s="15"/>
      <c r="B11" s="35"/>
      <c r="C11" s="35"/>
      <c r="D11" s="35"/>
      <c r="E11" s="15"/>
      <c r="F11" s="35"/>
      <c r="G11" s="35"/>
      <c r="I11" s="42"/>
      <c r="J11" s="42"/>
      <c r="K11" s="42"/>
      <c r="L11" s="42"/>
      <c r="M11" s="42"/>
      <c r="O11" s="43"/>
      <c r="P11" s="15"/>
      <c r="Q11" s="35"/>
      <c r="R11" s="15"/>
      <c r="W11" s="35"/>
      <c r="X11" s="35"/>
    </row>
    <row r="12" spans="1:24" s="40" customFormat="1" x14ac:dyDescent="0.25">
      <c r="A12" s="15"/>
      <c r="B12" s="35"/>
      <c r="C12" s="35"/>
      <c r="D12" s="35"/>
      <c r="E12" s="15"/>
      <c r="I12" s="42"/>
      <c r="O12" s="43"/>
      <c r="P12" s="15"/>
      <c r="Q12" s="35"/>
      <c r="R12" s="15"/>
      <c r="S12" s="35"/>
      <c r="T12" s="35"/>
      <c r="U12" s="35"/>
      <c r="V12" s="44"/>
    </row>
    <row r="13" spans="1:24" s="40" customFormat="1" x14ac:dyDescent="0.25">
      <c r="A13" s="15"/>
      <c r="B13" s="35"/>
      <c r="C13" s="35"/>
      <c r="D13" s="35"/>
      <c r="E13" s="15"/>
      <c r="I13" s="42"/>
      <c r="O13" s="43"/>
      <c r="P13" s="15"/>
      <c r="Q13" s="35"/>
      <c r="R13" s="15"/>
      <c r="S13" s="35"/>
      <c r="T13" s="35"/>
      <c r="U13" s="35"/>
      <c r="V13" s="44"/>
    </row>
    <row r="14" spans="1:24" s="40" customFormat="1" x14ac:dyDescent="0.25">
      <c r="A14" s="15"/>
      <c r="B14" s="35"/>
      <c r="C14" s="35"/>
      <c r="D14" s="35"/>
      <c r="E14" s="15"/>
      <c r="I14" s="42"/>
      <c r="N14" s="35"/>
      <c r="O14" s="35"/>
      <c r="P14" s="15"/>
      <c r="Q14" s="35"/>
      <c r="R14" s="15"/>
      <c r="S14" s="35"/>
      <c r="T14" s="35"/>
      <c r="U14" s="35"/>
      <c r="V14" s="44"/>
    </row>
    <row r="15" spans="1:24" s="40" customFormat="1" x14ac:dyDescent="0.25">
      <c r="A15" s="15"/>
      <c r="B15" s="35"/>
      <c r="C15" s="35"/>
      <c r="D15" s="35"/>
      <c r="E15" s="15"/>
      <c r="I15" s="42"/>
      <c r="O15" s="43"/>
      <c r="P15" s="15"/>
      <c r="Q15" s="35"/>
      <c r="R15" s="15"/>
      <c r="T15" s="35"/>
      <c r="W15" s="35"/>
    </row>
    <row r="16" spans="1:24" s="40" customFormat="1" x14ac:dyDescent="0.25">
      <c r="A16" s="15"/>
      <c r="B16" s="35"/>
      <c r="C16" s="35"/>
      <c r="D16" s="35"/>
      <c r="E16" s="15"/>
      <c r="F16" s="35"/>
      <c r="G16" s="35"/>
      <c r="I16" s="42"/>
      <c r="J16" s="42"/>
      <c r="K16" s="42"/>
      <c r="L16" s="42"/>
      <c r="M16" s="42"/>
      <c r="O16" s="44"/>
      <c r="P16" s="15"/>
      <c r="Q16" s="35"/>
      <c r="R16" s="15"/>
      <c r="S16" s="35"/>
      <c r="T16" s="35"/>
      <c r="U16" s="35"/>
      <c r="V16" s="44"/>
      <c r="W16" s="35"/>
    </row>
    <row r="17" spans="1:23" s="40" customFormat="1" x14ac:dyDescent="0.25">
      <c r="A17" s="39"/>
      <c r="B17" s="35"/>
      <c r="C17" s="35"/>
      <c r="D17" s="35"/>
      <c r="E17" s="15"/>
      <c r="I17" s="42"/>
      <c r="N17" s="35"/>
      <c r="O17" s="35"/>
      <c r="P17" s="15"/>
      <c r="Q17" s="35"/>
      <c r="R17" s="15"/>
      <c r="S17" s="35"/>
      <c r="T17" s="35"/>
      <c r="U17" s="35"/>
      <c r="V17" s="44"/>
      <c r="W17" s="35"/>
    </row>
    <row r="18" spans="1:23" s="40" customFormat="1" x14ac:dyDescent="0.25">
      <c r="A18" s="15"/>
      <c r="B18" s="35"/>
      <c r="C18" s="35"/>
      <c r="D18" s="35"/>
      <c r="E18" s="15"/>
      <c r="F18" s="35"/>
      <c r="G18" s="35"/>
      <c r="I18" s="42"/>
      <c r="J18" s="42"/>
      <c r="K18" s="42"/>
      <c r="L18" s="42"/>
      <c r="M18" s="42"/>
      <c r="N18" s="35"/>
      <c r="O18" s="44"/>
      <c r="P18" s="15"/>
      <c r="Q18" s="35"/>
      <c r="R18" s="15"/>
      <c r="S18" s="35"/>
      <c r="T18" s="35"/>
      <c r="U18" s="35"/>
      <c r="V18" s="44"/>
      <c r="W18" s="35"/>
    </row>
    <row r="19" spans="1:23" s="40" customFormat="1" x14ac:dyDescent="0.25">
      <c r="A19" s="39"/>
      <c r="B19" s="35"/>
      <c r="C19" s="35"/>
      <c r="D19" s="35"/>
      <c r="E19" s="15"/>
      <c r="F19" s="35"/>
      <c r="G19" s="35"/>
      <c r="I19" s="42"/>
      <c r="J19" s="42"/>
      <c r="K19" s="42"/>
      <c r="L19" s="42"/>
      <c r="M19" s="42"/>
      <c r="N19" s="35"/>
      <c r="O19" s="44"/>
      <c r="P19" s="15"/>
      <c r="Q19" s="35"/>
      <c r="R19" s="15"/>
      <c r="S19" s="35"/>
      <c r="T19" s="35"/>
      <c r="U19" s="35"/>
      <c r="V19" s="44"/>
      <c r="W19" s="35"/>
    </row>
    <row r="20" spans="1:23" s="40" customFormat="1" x14ac:dyDescent="0.25">
      <c r="A20" s="15"/>
      <c r="B20" s="35"/>
      <c r="C20" s="35"/>
      <c r="D20" s="35"/>
      <c r="E20" s="15"/>
      <c r="F20" s="35"/>
      <c r="G20" s="35"/>
      <c r="H20" s="35"/>
      <c r="J20" s="42"/>
      <c r="K20" s="42"/>
      <c r="L20" s="42"/>
      <c r="M20" s="42"/>
      <c r="N20" s="35"/>
      <c r="O20" s="44"/>
      <c r="P20" s="15"/>
      <c r="Q20" s="35"/>
      <c r="R20" s="15"/>
    </row>
    <row r="21" spans="1:23" s="40" customFormat="1" x14ac:dyDescent="0.25">
      <c r="A21" s="15"/>
      <c r="B21" s="35"/>
      <c r="C21" s="35"/>
      <c r="D21" s="35"/>
      <c r="E21" s="15"/>
      <c r="F21" s="35"/>
      <c r="G21" s="35"/>
      <c r="H21" s="35"/>
      <c r="J21" s="42"/>
      <c r="K21" s="42"/>
      <c r="L21" s="42"/>
      <c r="M21" s="42"/>
      <c r="N21" s="35"/>
      <c r="O21" s="44"/>
      <c r="P21" s="15"/>
      <c r="Q21" s="35"/>
      <c r="R21" s="15"/>
      <c r="U21" s="35"/>
      <c r="W21" s="35"/>
    </row>
    <row r="22" spans="1:23" s="40" customFormat="1" x14ac:dyDescent="0.25">
      <c r="A22" s="15"/>
      <c r="B22" s="35"/>
      <c r="C22" s="35"/>
      <c r="D22" s="35"/>
      <c r="E22" s="15"/>
      <c r="F22" s="35"/>
      <c r="G22" s="35"/>
      <c r="H22" s="35"/>
      <c r="J22" s="42"/>
      <c r="K22" s="42"/>
      <c r="L22" s="42"/>
      <c r="M22" s="42"/>
      <c r="N22" s="35"/>
      <c r="O22" s="44"/>
      <c r="P22" s="15"/>
      <c r="Q22" s="35"/>
      <c r="R22" s="15"/>
      <c r="U22" s="35"/>
    </row>
    <row r="23" spans="1:23" s="40" customFormat="1" x14ac:dyDescent="0.25">
      <c r="B23" s="35"/>
      <c r="C23" s="35"/>
      <c r="D23" s="35"/>
      <c r="E23" s="15"/>
      <c r="F23" s="35"/>
      <c r="G23" s="35"/>
      <c r="H23" s="35"/>
      <c r="J23" s="42"/>
      <c r="K23" s="42"/>
      <c r="L23" s="42"/>
      <c r="M23" s="42"/>
      <c r="N23" s="35"/>
      <c r="O23" s="44"/>
      <c r="P23" s="15"/>
      <c r="Q23" s="35"/>
      <c r="R23" s="15"/>
      <c r="U23" s="35"/>
    </row>
    <row r="24" spans="1:23" s="40" customFormat="1" x14ac:dyDescent="0.25">
      <c r="A24" s="15"/>
      <c r="B24" s="35"/>
      <c r="C24" s="35"/>
      <c r="D24" s="35"/>
      <c r="E24" s="15"/>
      <c r="F24" s="35"/>
      <c r="G24" s="35"/>
      <c r="H24" s="35"/>
      <c r="J24" s="42"/>
      <c r="K24" s="42"/>
      <c r="L24" s="42"/>
      <c r="M24" s="42"/>
      <c r="N24" s="35"/>
      <c r="O24" s="44"/>
      <c r="P24" s="15"/>
      <c r="Q24" s="35"/>
      <c r="R24" s="15"/>
      <c r="U24" s="35"/>
    </row>
    <row r="25" spans="1:23" s="40" customFormat="1" x14ac:dyDescent="0.25">
      <c r="A25" s="15"/>
      <c r="B25" s="35"/>
      <c r="C25" s="35"/>
      <c r="D25" s="35"/>
      <c r="E25" s="15"/>
      <c r="F25" s="35"/>
      <c r="G25" s="35"/>
      <c r="H25" s="35"/>
      <c r="J25" s="42"/>
      <c r="K25" s="42"/>
      <c r="L25" s="42"/>
      <c r="M25" s="42"/>
      <c r="N25" s="35"/>
      <c r="O25" s="44"/>
      <c r="P25" s="15"/>
      <c r="Q25" s="35"/>
      <c r="R25" s="15"/>
    </row>
    <row r="26" spans="1:23" s="40" customFormat="1" x14ac:dyDescent="0.25">
      <c r="A26" s="15"/>
      <c r="B26" s="35"/>
      <c r="C26" s="35"/>
      <c r="D26" s="35"/>
      <c r="E26" s="15"/>
      <c r="F26" s="35"/>
      <c r="G26" s="35"/>
      <c r="H26" s="35"/>
      <c r="J26" s="42"/>
      <c r="K26" s="42"/>
      <c r="L26" s="42"/>
      <c r="M26" s="42"/>
      <c r="N26" s="35"/>
      <c r="O26" s="44"/>
      <c r="P26" s="15"/>
      <c r="Q26" s="35"/>
      <c r="R26" s="15"/>
    </row>
    <row r="27" spans="1:23" s="40" customFormat="1" x14ac:dyDescent="0.25">
      <c r="A27" s="15"/>
      <c r="B27" s="35"/>
      <c r="C27" s="35"/>
      <c r="D27" s="35"/>
      <c r="E27" s="15"/>
      <c r="F27" s="35"/>
      <c r="G27" s="35"/>
      <c r="H27" s="35"/>
      <c r="J27" s="42"/>
      <c r="K27" s="42"/>
      <c r="L27" s="42"/>
      <c r="M27" s="42"/>
      <c r="N27" s="35"/>
      <c r="O27" s="44"/>
      <c r="P27" s="15"/>
      <c r="Q27" s="35"/>
      <c r="R27" s="15"/>
    </row>
    <row r="28" spans="1:23" s="40" customFormat="1" x14ac:dyDescent="0.25">
      <c r="A28" s="15"/>
      <c r="B28" s="35"/>
      <c r="C28" s="35"/>
      <c r="D28" s="35"/>
      <c r="E28" s="15"/>
      <c r="F28" s="35"/>
      <c r="G28" s="35"/>
      <c r="H28" s="35"/>
      <c r="J28" s="42"/>
      <c r="K28" s="42"/>
      <c r="L28" s="42"/>
      <c r="M28" s="42"/>
      <c r="N28" s="35"/>
      <c r="O28" s="44"/>
      <c r="P28" s="15"/>
      <c r="Q28" s="35"/>
      <c r="R28" s="15"/>
    </row>
    <row r="29" spans="1:23" s="40" customFormat="1" x14ac:dyDescent="0.25">
      <c r="A29" s="39"/>
      <c r="B29" s="35"/>
      <c r="C29" s="35"/>
      <c r="D29" s="35"/>
      <c r="E29" s="15"/>
      <c r="F29" s="35"/>
      <c r="G29" s="35"/>
      <c r="H29" s="35"/>
      <c r="I29" s="35"/>
      <c r="J29" s="35"/>
      <c r="K29" s="44"/>
      <c r="L29" s="44"/>
      <c r="M29" s="44"/>
      <c r="O29" s="43"/>
      <c r="P29" s="15"/>
      <c r="Q29" s="43"/>
      <c r="R29" s="46"/>
      <c r="S29" s="47"/>
      <c r="T29" s="47"/>
    </row>
    <row r="30" spans="1:23" s="40" customFormat="1" x14ac:dyDescent="0.25">
      <c r="A30" s="39"/>
      <c r="B30" s="35"/>
      <c r="C30" s="35"/>
      <c r="D30" s="35"/>
      <c r="E30" s="15"/>
      <c r="F30" s="35"/>
      <c r="G30" s="35"/>
      <c r="H30" s="35"/>
      <c r="I30" s="35"/>
      <c r="J30" s="48"/>
      <c r="K30" s="44"/>
      <c r="L30" s="44"/>
      <c r="M30" s="44"/>
      <c r="O30" s="43"/>
      <c r="P30" s="15"/>
      <c r="Q30" s="43"/>
      <c r="R30" s="46"/>
      <c r="S30" s="47"/>
      <c r="T30" s="47"/>
    </row>
    <row r="31" spans="1:23" s="40" customFormat="1" x14ac:dyDescent="0.25">
      <c r="A31" s="15"/>
      <c r="B31" s="35"/>
      <c r="C31" s="35"/>
      <c r="D31" s="35"/>
      <c r="E31" s="15"/>
      <c r="F31" s="35"/>
      <c r="G31" s="35"/>
      <c r="H31" s="35"/>
      <c r="I31" s="35"/>
      <c r="J31" s="35"/>
      <c r="K31" s="44"/>
      <c r="L31" s="44"/>
      <c r="M31" s="44"/>
      <c r="O31" s="43"/>
      <c r="P31" s="15"/>
      <c r="Q31" s="43"/>
      <c r="R31" s="46"/>
      <c r="S31" s="47"/>
      <c r="T31" s="47"/>
    </row>
    <row r="32" spans="1:23" s="40" customFormat="1" x14ac:dyDescent="0.25">
      <c r="A32" s="15"/>
      <c r="B32" s="35"/>
      <c r="C32" s="35"/>
      <c r="D32" s="35"/>
      <c r="E32" s="15"/>
      <c r="F32" s="35"/>
      <c r="G32" s="35"/>
      <c r="H32" s="35"/>
      <c r="I32" s="35"/>
      <c r="J32" s="35"/>
      <c r="K32" s="44"/>
      <c r="L32" s="44"/>
      <c r="M32" s="44"/>
      <c r="O32" s="43"/>
      <c r="P32" s="15"/>
      <c r="Q32" s="43"/>
      <c r="R32" s="46"/>
      <c r="S32" s="47"/>
      <c r="T32" s="47"/>
    </row>
    <row r="33" spans="1:24" s="40" customFormat="1" x14ac:dyDescent="0.25">
      <c r="A33" s="15"/>
      <c r="B33" s="35"/>
      <c r="C33" s="35"/>
      <c r="D33" s="35"/>
      <c r="E33" s="15"/>
      <c r="F33" s="35"/>
      <c r="G33" s="35"/>
      <c r="I33" s="42"/>
      <c r="J33" s="42"/>
      <c r="K33" s="42"/>
      <c r="L33" s="42"/>
      <c r="M33" s="42"/>
      <c r="N33" s="35"/>
      <c r="O33" s="44"/>
      <c r="P33" s="15"/>
      <c r="Q33" s="35"/>
      <c r="R33" s="15"/>
      <c r="S33" s="35"/>
      <c r="T33" s="35"/>
      <c r="U33" s="35"/>
      <c r="V33" s="44"/>
      <c r="W33" s="35"/>
    </row>
    <row r="34" spans="1:24" s="40" customFormat="1" x14ac:dyDescent="0.25">
      <c r="A34" s="39"/>
      <c r="B34" s="35"/>
      <c r="C34" s="35"/>
      <c r="D34" s="35"/>
      <c r="E34" s="15"/>
      <c r="F34" s="35"/>
      <c r="G34" s="35"/>
      <c r="J34" s="42"/>
      <c r="K34" s="42"/>
      <c r="L34" s="42"/>
      <c r="M34" s="42"/>
      <c r="N34" s="35"/>
      <c r="O34" s="44"/>
      <c r="P34" s="15"/>
      <c r="Q34" s="35"/>
      <c r="R34" s="15"/>
      <c r="W34" s="35"/>
    </row>
    <row r="35" spans="1:24" s="40" customFormat="1" x14ac:dyDescent="0.25">
      <c r="A35" s="39"/>
      <c r="B35" s="35"/>
      <c r="C35" s="35"/>
      <c r="D35" s="35"/>
      <c r="E35" s="15"/>
      <c r="F35" s="35"/>
      <c r="G35" s="35"/>
      <c r="I35" s="42"/>
      <c r="J35" s="42"/>
      <c r="K35" s="42"/>
      <c r="L35" s="42"/>
      <c r="M35" s="42"/>
      <c r="N35" s="35"/>
      <c r="O35" s="44"/>
      <c r="P35" s="15"/>
      <c r="Q35" s="35"/>
      <c r="R35" s="15"/>
      <c r="W35" s="35"/>
    </row>
    <row r="36" spans="1:24" s="40" customFormat="1" x14ac:dyDescent="0.25">
      <c r="A36" s="39"/>
      <c r="B36" s="35"/>
      <c r="C36" s="35"/>
      <c r="D36" s="35"/>
      <c r="E36" s="15"/>
      <c r="F36" s="35"/>
      <c r="G36" s="35"/>
      <c r="I36" s="42"/>
      <c r="J36" s="42"/>
      <c r="K36" s="42"/>
      <c r="L36" s="42"/>
      <c r="M36" s="42"/>
      <c r="N36" s="35"/>
      <c r="O36" s="44"/>
      <c r="P36" s="15"/>
      <c r="Q36" s="35"/>
      <c r="R36" s="15"/>
      <c r="W36" s="35"/>
    </row>
    <row r="37" spans="1:24" s="40" customFormat="1" x14ac:dyDescent="0.25">
      <c r="A37" s="39"/>
      <c r="B37" s="35"/>
      <c r="C37" s="35"/>
      <c r="D37" s="35"/>
      <c r="E37" s="15"/>
      <c r="F37" s="35"/>
      <c r="G37" s="35"/>
      <c r="H37" s="35"/>
      <c r="I37" s="42"/>
      <c r="J37" s="42"/>
      <c r="K37" s="42"/>
      <c r="L37" s="42"/>
      <c r="M37" s="42"/>
      <c r="N37" s="35"/>
      <c r="O37" s="44"/>
      <c r="P37" s="15"/>
      <c r="Q37" s="35"/>
      <c r="R37" s="15"/>
      <c r="W37" s="35"/>
    </row>
    <row r="38" spans="1:24" s="40" customFormat="1" x14ac:dyDescent="0.25">
      <c r="A38" s="39"/>
      <c r="B38" s="35"/>
      <c r="C38" s="35"/>
      <c r="D38" s="35"/>
      <c r="E38" s="15"/>
      <c r="F38" s="35"/>
      <c r="G38" s="35"/>
      <c r="I38" s="42"/>
      <c r="J38" s="42"/>
      <c r="K38" s="42"/>
      <c r="L38" s="42"/>
      <c r="M38" s="42"/>
      <c r="N38" s="35"/>
      <c r="R38" s="15"/>
      <c r="W38" s="35"/>
    </row>
    <row r="39" spans="1:24" s="40" customFormat="1" x14ac:dyDescent="0.25">
      <c r="A39" s="39"/>
      <c r="B39" s="35"/>
      <c r="C39" s="35"/>
      <c r="D39" s="35"/>
      <c r="E39" s="15"/>
      <c r="F39" s="35"/>
      <c r="G39" s="35"/>
      <c r="H39" s="35"/>
      <c r="I39" s="42"/>
      <c r="J39" s="42"/>
      <c r="K39" s="42"/>
      <c r="L39" s="42"/>
      <c r="M39" s="42"/>
      <c r="N39" s="35"/>
      <c r="O39" s="44"/>
      <c r="P39" s="15"/>
      <c r="Q39" s="35"/>
      <c r="R39" s="15"/>
      <c r="W39" s="35"/>
    </row>
    <row r="40" spans="1:24" s="40" customFormat="1" x14ac:dyDescent="0.25">
      <c r="A40" s="15"/>
      <c r="B40" s="35"/>
      <c r="C40" s="35"/>
      <c r="D40" s="35"/>
      <c r="E40" s="15"/>
      <c r="F40" s="35"/>
      <c r="G40" s="35"/>
      <c r="J40" s="42"/>
      <c r="K40" s="42"/>
      <c r="L40" s="42"/>
      <c r="M40" s="42"/>
      <c r="N40" s="35"/>
      <c r="O40" s="44"/>
      <c r="P40" s="15"/>
      <c r="Q40" s="35"/>
      <c r="R40" s="15"/>
      <c r="W40" s="35"/>
      <c r="X40" s="35"/>
    </row>
    <row r="41" spans="1:24" s="40" customFormat="1" x14ac:dyDescent="0.25">
      <c r="A41" s="39"/>
      <c r="B41" s="35"/>
      <c r="C41" s="35"/>
      <c r="D41" s="35"/>
      <c r="E41" s="15"/>
      <c r="F41" s="35"/>
      <c r="G41" s="35"/>
      <c r="H41" s="35"/>
      <c r="J41" s="42"/>
      <c r="K41" s="42"/>
      <c r="L41" s="42"/>
      <c r="M41" s="42"/>
      <c r="N41" s="35"/>
      <c r="O41" s="44"/>
      <c r="P41" s="15"/>
      <c r="Q41" s="35"/>
      <c r="R41" s="15"/>
      <c r="V41" s="44"/>
      <c r="W41" s="35"/>
      <c r="X41" s="35"/>
    </row>
    <row r="42" spans="1:24" s="40" customFormat="1" x14ac:dyDescent="0.25">
      <c r="A42" s="15"/>
      <c r="B42" s="35"/>
      <c r="C42" s="35"/>
      <c r="D42" s="35"/>
      <c r="E42" s="15"/>
      <c r="F42" s="35"/>
      <c r="G42" s="35"/>
      <c r="H42" s="35"/>
      <c r="I42" s="42"/>
      <c r="J42" s="42"/>
      <c r="K42" s="42"/>
      <c r="L42" s="42"/>
      <c r="M42" s="42"/>
      <c r="N42" s="35"/>
      <c r="O42" s="44"/>
      <c r="P42" s="15"/>
      <c r="Q42" s="35"/>
      <c r="R42" s="15"/>
      <c r="V42" s="44"/>
      <c r="W42" s="35"/>
      <c r="X42" s="35"/>
    </row>
    <row r="43" spans="1:24" s="40" customFormat="1" x14ac:dyDescent="0.25">
      <c r="A43" s="15"/>
      <c r="B43" s="35"/>
      <c r="C43" s="35"/>
      <c r="D43" s="35"/>
      <c r="E43" s="15"/>
      <c r="F43" s="35"/>
      <c r="G43" s="35"/>
      <c r="H43" s="35"/>
      <c r="I43" s="42"/>
      <c r="J43" s="42"/>
      <c r="K43" s="42"/>
      <c r="L43" s="42"/>
      <c r="M43" s="42"/>
      <c r="N43" s="35"/>
      <c r="O43" s="44"/>
      <c r="P43" s="15"/>
      <c r="Q43" s="35"/>
      <c r="R43" s="15"/>
      <c r="V43" s="44"/>
      <c r="W43" s="35"/>
      <c r="X43" s="35"/>
    </row>
    <row r="44" spans="1:24" s="40" customFormat="1" x14ac:dyDescent="0.25">
      <c r="A44" s="15"/>
      <c r="B44" s="35"/>
      <c r="C44" s="35"/>
      <c r="D44" s="35"/>
      <c r="E44" s="15"/>
      <c r="F44" s="35"/>
      <c r="G44" s="35"/>
      <c r="H44" s="35"/>
      <c r="I44" s="42"/>
      <c r="J44" s="42"/>
      <c r="K44" s="42"/>
      <c r="L44" s="42"/>
      <c r="M44" s="42"/>
      <c r="N44" s="35"/>
      <c r="O44" s="44"/>
      <c r="P44" s="15"/>
      <c r="Q44" s="35"/>
      <c r="R44" s="15"/>
      <c r="V44" s="44"/>
      <c r="W44" s="35"/>
      <c r="X44" s="35"/>
    </row>
    <row r="45" spans="1:24" s="40" customFormat="1" x14ac:dyDescent="0.25">
      <c r="A45" s="15"/>
      <c r="B45" s="35"/>
      <c r="C45" s="35"/>
      <c r="D45" s="35"/>
      <c r="E45" s="15"/>
      <c r="F45" s="35"/>
      <c r="G45" s="35"/>
      <c r="J45" s="42"/>
      <c r="K45" s="42"/>
      <c r="L45" s="42"/>
      <c r="M45" s="42"/>
      <c r="N45" s="35"/>
      <c r="O45" s="44"/>
      <c r="P45" s="15"/>
      <c r="Q45" s="35"/>
      <c r="R45" s="15"/>
      <c r="V45" s="44"/>
    </row>
    <row r="46" spans="1:24" s="40" customFormat="1" x14ac:dyDescent="0.25">
      <c r="A46" s="15"/>
      <c r="B46" s="35"/>
      <c r="C46" s="35"/>
      <c r="D46" s="35"/>
      <c r="E46" s="15"/>
      <c r="F46" s="35"/>
      <c r="G46" s="35"/>
      <c r="H46" s="35"/>
      <c r="J46" s="42"/>
      <c r="K46" s="42"/>
      <c r="L46" s="42"/>
      <c r="M46" s="42"/>
      <c r="N46" s="35"/>
      <c r="O46" s="44"/>
      <c r="P46" s="15"/>
      <c r="Q46" s="35"/>
      <c r="R46" s="15"/>
      <c r="U46" s="35"/>
      <c r="V46" s="44"/>
    </row>
    <row r="47" spans="1:24" s="40" customFormat="1" x14ac:dyDescent="0.25">
      <c r="A47" s="15"/>
      <c r="B47" s="35"/>
      <c r="C47" s="35"/>
      <c r="D47" s="35"/>
      <c r="E47" s="15"/>
      <c r="F47" s="35"/>
      <c r="G47" s="35"/>
      <c r="H47" s="35"/>
      <c r="J47" s="42"/>
      <c r="K47" s="42"/>
      <c r="L47" s="42"/>
      <c r="M47" s="42"/>
      <c r="N47" s="35"/>
      <c r="O47" s="44"/>
      <c r="P47" s="15"/>
      <c r="Q47" s="35"/>
      <c r="R47" s="15"/>
      <c r="U47" s="35"/>
      <c r="V47" s="44"/>
    </row>
    <row r="48" spans="1:24" s="40" customFormat="1" x14ac:dyDescent="0.25">
      <c r="A48" s="15"/>
      <c r="B48" s="35"/>
      <c r="C48" s="35"/>
      <c r="D48" s="35"/>
      <c r="E48" s="15"/>
      <c r="F48" s="35"/>
      <c r="G48" s="35"/>
      <c r="H48" s="35"/>
      <c r="J48" s="42"/>
      <c r="K48" s="42"/>
      <c r="L48" s="42"/>
      <c r="M48" s="42"/>
      <c r="N48" s="35"/>
      <c r="O48" s="44"/>
      <c r="P48" s="15"/>
      <c r="Q48" s="35"/>
      <c r="R48" s="15"/>
      <c r="U48" s="35"/>
      <c r="V48" s="44"/>
    </row>
    <row r="49" spans="1:24" s="40" customFormat="1" x14ac:dyDescent="0.25">
      <c r="A49" s="15"/>
      <c r="B49" s="35"/>
      <c r="C49" s="35"/>
      <c r="D49" s="35"/>
      <c r="E49" s="15"/>
      <c r="F49" s="35"/>
      <c r="G49" s="35"/>
      <c r="H49" s="35"/>
      <c r="J49" s="42"/>
      <c r="K49" s="42"/>
      <c r="L49" s="42"/>
      <c r="M49" s="42"/>
      <c r="N49" s="35"/>
      <c r="O49" s="44"/>
      <c r="P49" s="15"/>
      <c r="Q49" s="35"/>
      <c r="R49" s="15"/>
      <c r="U49" s="35"/>
      <c r="V49" s="44"/>
    </row>
    <row r="50" spans="1:24" s="40" customFormat="1" x14ac:dyDescent="0.25">
      <c r="A50" s="15"/>
      <c r="B50" s="35"/>
      <c r="C50" s="35"/>
      <c r="D50" s="35"/>
      <c r="E50" s="15"/>
      <c r="F50" s="35"/>
      <c r="G50" s="35"/>
      <c r="H50" s="35"/>
      <c r="J50" s="42"/>
      <c r="K50" s="42"/>
      <c r="L50" s="42"/>
      <c r="M50" s="42"/>
      <c r="N50" s="35"/>
      <c r="O50" s="44"/>
      <c r="P50" s="15"/>
      <c r="Q50" s="35"/>
      <c r="R50" s="15"/>
      <c r="U50" s="35"/>
      <c r="V50" s="44"/>
    </row>
    <row r="51" spans="1:24" s="40" customFormat="1" x14ac:dyDescent="0.25">
      <c r="A51" s="15"/>
      <c r="B51" s="35"/>
      <c r="C51" s="35"/>
      <c r="D51" s="35"/>
      <c r="E51" s="15"/>
      <c r="F51" s="35"/>
      <c r="G51" s="35"/>
      <c r="H51" s="35"/>
      <c r="J51" s="42"/>
      <c r="K51" s="42"/>
      <c r="L51" s="42"/>
      <c r="M51" s="42"/>
      <c r="N51" s="35"/>
      <c r="O51" s="44"/>
      <c r="P51" s="15"/>
      <c r="Q51" s="35"/>
      <c r="R51" s="15"/>
      <c r="U51" s="35"/>
      <c r="V51" s="44"/>
    </row>
    <row r="52" spans="1:24" s="40" customFormat="1" x14ac:dyDescent="0.25">
      <c r="A52" s="39"/>
      <c r="B52" s="35"/>
      <c r="C52" s="35"/>
      <c r="D52" s="35"/>
      <c r="E52" s="15"/>
      <c r="F52" s="35"/>
      <c r="G52" s="35"/>
      <c r="J52" s="42"/>
      <c r="K52" s="42"/>
      <c r="L52" s="42"/>
      <c r="M52" s="42"/>
      <c r="N52" s="35"/>
      <c r="O52" s="44"/>
      <c r="P52" s="15"/>
      <c r="Q52" s="35"/>
      <c r="R52" s="15"/>
    </row>
    <row r="53" spans="1:24" s="40" customFormat="1" x14ac:dyDescent="0.25">
      <c r="A53" s="39"/>
      <c r="B53" s="35"/>
      <c r="C53" s="35"/>
      <c r="D53" s="35"/>
      <c r="E53" s="15"/>
      <c r="F53" s="35"/>
      <c r="G53" s="35"/>
      <c r="H53" s="35"/>
      <c r="J53" s="42"/>
      <c r="K53" s="42"/>
      <c r="L53" s="42"/>
      <c r="M53" s="42"/>
      <c r="N53" s="35"/>
      <c r="O53" s="44"/>
      <c r="P53" s="15"/>
      <c r="Q53" s="35"/>
      <c r="R53" s="15"/>
      <c r="U53" s="35"/>
    </row>
    <row r="54" spans="1:24" s="40" customFormat="1" x14ac:dyDescent="0.25">
      <c r="A54" s="15"/>
      <c r="B54" s="35"/>
      <c r="C54" s="35"/>
      <c r="D54" s="35"/>
      <c r="E54" s="15"/>
      <c r="F54" s="35"/>
      <c r="G54" s="35"/>
      <c r="H54" s="35"/>
      <c r="J54" s="42"/>
      <c r="K54" s="42"/>
      <c r="L54" s="42"/>
      <c r="M54" s="42"/>
      <c r="N54" s="35"/>
      <c r="O54" s="44"/>
      <c r="P54" s="15"/>
      <c r="Q54" s="35"/>
      <c r="R54" s="15"/>
      <c r="U54" s="35"/>
      <c r="V54" s="44"/>
    </row>
    <row r="55" spans="1:24" s="40" customFormat="1" x14ac:dyDescent="0.25">
      <c r="A55" s="15"/>
      <c r="B55" s="35"/>
      <c r="C55" s="35"/>
      <c r="D55" s="35"/>
      <c r="E55" s="15"/>
      <c r="F55" s="35"/>
      <c r="G55" s="35"/>
      <c r="H55" s="35"/>
      <c r="J55" s="42"/>
      <c r="K55" s="42"/>
      <c r="L55" s="42"/>
      <c r="M55" s="42"/>
      <c r="N55" s="35"/>
      <c r="O55" s="44"/>
      <c r="P55" s="15"/>
      <c r="Q55" s="35"/>
      <c r="R55" s="15"/>
      <c r="U55" s="35"/>
      <c r="V55" s="44"/>
    </row>
    <row r="56" spans="1:24" s="40" customFormat="1" x14ac:dyDescent="0.25">
      <c r="A56" s="15"/>
      <c r="B56" s="35"/>
      <c r="C56" s="35"/>
      <c r="D56" s="35"/>
      <c r="E56" s="15"/>
      <c r="F56" s="35"/>
      <c r="G56" s="35"/>
      <c r="H56" s="35"/>
      <c r="J56" s="42"/>
      <c r="K56" s="42"/>
      <c r="L56" s="42"/>
      <c r="M56" s="42"/>
      <c r="N56" s="35"/>
      <c r="O56" s="44"/>
      <c r="P56" s="15"/>
      <c r="Q56" s="35"/>
      <c r="R56" s="15"/>
      <c r="U56" s="35"/>
      <c r="V56" s="44"/>
    </row>
    <row r="57" spans="1:24" s="40" customFormat="1" x14ac:dyDescent="0.25">
      <c r="A57" s="15"/>
      <c r="B57" s="35"/>
      <c r="C57" s="35"/>
      <c r="D57" s="35"/>
      <c r="E57" s="15"/>
      <c r="F57" s="35"/>
      <c r="G57" s="35"/>
      <c r="H57" s="35"/>
      <c r="J57" s="42"/>
      <c r="K57" s="42"/>
      <c r="L57" s="42"/>
      <c r="M57" s="42"/>
      <c r="N57" s="35"/>
      <c r="O57" s="44"/>
      <c r="P57" s="15"/>
      <c r="Q57" s="35"/>
      <c r="R57" s="15"/>
      <c r="V57" s="44"/>
    </row>
    <row r="58" spans="1:24" s="40" customFormat="1" x14ac:dyDescent="0.25">
      <c r="A58" s="15"/>
      <c r="B58" s="35"/>
      <c r="C58" s="35"/>
      <c r="D58" s="35"/>
      <c r="E58" s="15"/>
      <c r="F58" s="35"/>
      <c r="G58" s="35"/>
      <c r="J58" s="42"/>
      <c r="K58" s="42"/>
      <c r="L58" s="42"/>
      <c r="M58" s="42"/>
      <c r="N58" s="35"/>
      <c r="O58" s="44"/>
      <c r="P58" s="15"/>
      <c r="Q58" s="35"/>
      <c r="R58" s="15"/>
      <c r="V58" s="44"/>
    </row>
    <row r="59" spans="1:24" s="40" customFormat="1" x14ac:dyDescent="0.25">
      <c r="A59" s="39"/>
      <c r="B59" s="35"/>
      <c r="C59" s="35"/>
      <c r="D59" s="35"/>
      <c r="E59" s="15"/>
      <c r="F59" s="35"/>
      <c r="G59" s="35"/>
      <c r="J59" s="42"/>
      <c r="K59" s="42"/>
      <c r="L59" s="42"/>
      <c r="M59" s="42"/>
      <c r="N59" s="35"/>
      <c r="O59" s="44"/>
      <c r="P59" s="15"/>
      <c r="Q59" s="35"/>
      <c r="R59" s="15"/>
      <c r="V59" s="44"/>
    </row>
    <row r="60" spans="1:24" s="40" customFormat="1" x14ac:dyDescent="0.25">
      <c r="A60" s="39"/>
      <c r="B60" s="35"/>
      <c r="C60" s="35"/>
      <c r="D60" s="35"/>
      <c r="E60" s="15"/>
      <c r="F60" s="35"/>
      <c r="G60" s="35"/>
      <c r="H60" s="35"/>
      <c r="I60" s="42"/>
      <c r="J60" s="42"/>
      <c r="K60" s="42"/>
      <c r="L60" s="42"/>
      <c r="M60" s="42"/>
      <c r="N60" s="35"/>
      <c r="O60" s="44"/>
      <c r="P60" s="15"/>
      <c r="Q60" s="35"/>
      <c r="R60" s="15"/>
      <c r="W60" s="35"/>
      <c r="X60" s="35"/>
    </row>
    <row r="61" spans="1:24" s="40" customFormat="1" x14ac:dyDescent="0.25">
      <c r="A61" s="15"/>
      <c r="B61" s="35"/>
      <c r="C61" s="35"/>
      <c r="D61" s="35"/>
      <c r="E61" s="15"/>
      <c r="F61" s="35"/>
      <c r="G61" s="35"/>
      <c r="H61" s="35"/>
      <c r="I61" s="42"/>
      <c r="J61" s="42"/>
      <c r="K61" s="42"/>
      <c r="L61" s="42"/>
      <c r="M61" s="42"/>
      <c r="N61" s="35"/>
      <c r="O61" s="44"/>
      <c r="P61" s="15"/>
      <c r="Q61" s="35"/>
      <c r="R61" s="15"/>
      <c r="V61" s="44"/>
      <c r="X61" s="35"/>
    </row>
    <row r="62" spans="1:24" s="40" customFormat="1" x14ac:dyDescent="0.25">
      <c r="A62" s="15"/>
      <c r="B62" s="35"/>
      <c r="C62" s="35"/>
      <c r="D62" s="35"/>
      <c r="E62" s="15"/>
      <c r="F62" s="35"/>
      <c r="G62" s="35"/>
      <c r="J62" s="42"/>
      <c r="K62" s="42"/>
      <c r="L62" s="42"/>
      <c r="M62" s="42"/>
      <c r="N62" s="35"/>
      <c r="O62" s="44"/>
      <c r="P62" s="15"/>
      <c r="Q62" s="35"/>
      <c r="R62" s="15"/>
    </row>
    <row r="63" spans="1:24" s="40" customFormat="1" x14ac:dyDescent="0.25">
      <c r="A63" s="39"/>
      <c r="B63" s="35"/>
      <c r="C63" s="35"/>
      <c r="D63" s="35"/>
      <c r="E63" s="15"/>
      <c r="F63" s="35"/>
      <c r="G63" s="35"/>
      <c r="J63" s="42"/>
      <c r="K63" s="42"/>
      <c r="L63" s="42"/>
      <c r="M63" s="42"/>
      <c r="N63" s="35"/>
      <c r="O63" s="44"/>
      <c r="P63" s="15"/>
      <c r="Q63" s="35"/>
      <c r="R63" s="15"/>
    </row>
    <row r="64" spans="1:24" s="40" customFormat="1" x14ac:dyDescent="0.25">
      <c r="A64" s="15"/>
      <c r="B64" s="35"/>
      <c r="C64" s="35"/>
      <c r="D64" s="35"/>
      <c r="E64" s="15"/>
      <c r="F64" s="35"/>
      <c r="G64" s="35"/>
      <c r="H64" s="35"/>
      <c r="I64" s="35"/>
      <c r="J64" s="42"/>
      <c r="K64" s="42"/>
      <c r="L64" s="42"/>
      <c r="M64" s="42"/>
      <c r="N64" s="35"/>
      <c r="O64" s="44"/>
      <c r="P64" s="15"/>
      <c r="Q64" s="35"/>
      <c r="R64" s="15"/>
      <c r="V64" s="44"/>
    </row>
    <row r="65" spans="1:21" s="40" customFormat="1" x14ac:dyDescent="0.25">
      <c r="A65" s="15"/>
      <c r="B65" s="35"/>
      <c r="C65" s="35"/>
      <c r="D65" s="35"/>
      <c r="E65" s="15"/>
      <c r="F65" s="35"/>
      <c r="G65" s="35"/>
      <c r="H65" s="35"/>
      <c r="I65" s="35"/>
      <c r="J65" s="42"/>
      <c r="K65" s="42"/>
      <c r="L65" s="42"/>
      <c r="M65" s="42"/>
      <c r="N65" s="35"/>
      <c r="O65" s="44"/>
      <c r="P65" s="15"/>
      <c r="Q65" s="35"/>
      <c r="R65" s="15"/>
    </row>
    <row r="66" spans="1:21" s="40" customFormat="1" x14ac:dyDescent="0.25">
      <c r="A66" s="39"/>
      <c r="B66" s="35"/>
      <c r="C66" s="35"/>
      <c r="D66" s="35"/>
      <c r="E66" s="15"/>
      <c r="F66" s="35"/>
      <c r="G66" s="35"/>
      <c r="H66" s="35"/>
      <c r="I66" s="35"/>
      <c r="J66" s="42"/>
      <c r="K66" s="42"/>
      <c r="L66" s="42"/>
      <c r="M66" s="42"/>
      <c r="N66" s="35"/>
      <c r="O66" s="44"/>
      <c r="P66" s="15"/>
      <c r="Q66" s="35"/>
      <c r="R66" s="15"/>
    </row>
    <row r="67" spans="1:21" s="40" customFormat="1" x14ac:dyDescent="0.25">
      <c r="A67" s="15"/>
      <c r="B67" s="35"/>
      <c r="C67" s="35"/>
      <c r="D67" s="35"/>
      <c r="E67" s="15"/>
      <c r="F67" s="35"/>
      <c r="G67" s="35"/>
      <c r="H67" s="35"/>
      <c r="I67" s="35"/>
      <c r="J67" s="42"/>
      <c r="K67" s="42"/>
      <c r="L67" s="42"/>
      <c r="M67" s="42"/>
      <c r="N67" s="35"/>
      <c r="O67" s="44"/>
      <c r="P67" s="15"/>
      <c r="Q67" s="35"/>
      <c r="R67" s="15"/>
      <c r="S67" s="35"/>
      <c r="T67" s="35"/>
      <c r="U67" s="35"/>
    </row>
    <row r="68" spans="1:21" s="40" customFormat="1" x14ac:dyDescent="0.25">
      <c r="A68" s="15"/>
      <c r="B68" s="35"/>
      <c r="C68" s="35"/>
      <c r="D68" s="35"/>
      <c r="E68" s="15"/>
      <c r="F68" s="35"/>
      <c r="G68" s="35"/>
      <c r="H68" s="35"/>
      <c r="I68" s="35"/>
      <c r="J68" s="42"/>
      <c r="K68" s="49"/>
      <c r="L68" s="49"/>
      <c r="M68" s="49"/>
      <c r="N68" s="35"/>
      <c r="O68" s="44"/>
      <c r="P68" s="15"/>
      <c r="Q68" s="35"/>
      <c r="R68" s="15"/>
      <c r="S68" s="35"/>
      <c r="T68" s="35"/>
      <c r="U68" s="35"/>
    </row>
    <row r="69" spans="1:21" s="40" customFormat="1" x14ac:dyDescent="0.25">
      <c r="A69" s="15"/>
      <c r="B69" s="35"/>
      <c r="C69" s="35"/>
      <c r="D69" s="35"/>
      <c r="E69" s="15"/>
      <c r="F69" s="35"/>
      <c r="G69" s="35"/>
      <c r="H69" s="35"/>
      <c r="I69" s="35"/>
      <c r="J69" s="42"/>
      <c r="K69" s="49"/>
      <c r="L69" s="49"/>
      <c r="M69" s="49"/>
      <c r="N69" s="35"/>
      <c r="O69" s="44"/>
      <c r="P69" s="15"/>
      <c r="Q69" s="35"/>
      <c r="R69" s="15"/>
      <c r="S69" s="35"/>
      <c r="T69" s="35"/>
      <c r="U69" s="35"/>
    </row>
    <row r="70" spans="1:21" s="40" customFormat="1" x14ac:dyDescent="0.25">
      <c r="A70" s="15"/>
      <c r="B70" s="35"/>
      <c r="C70" s="35"/>
      <c r="D70" s="35"/>
      <c r="E70" s="15"/>
      <c r="F70" s="35"/>
      <c r="G70" s="35"/>
      <c r="H70" s="35"/>
      <c r="N70" s="35"/>
      <c r="O70" s="43"/>
      <c r="P70" s="15"/>
      <c r="Q70" s="35"/>
      <c r="R70" s="15"/>
    </row>
    <row r="71" spans="1:21" s="40" customFormat="1" x14ac:dyDescent="0.25">
      <c r="A71" s="41"/>
      <c r="E71" s="15"/>
      <c r="P71" s="15"/>
      <c r="Q71" s="35"/>
      <c r="R71" s="15"/>
    </row>
    <row r="72" spans="1:21" s="40" customFormat="1" x14ac:dyDescent="0.25">
      <c r="E72" s="15"/>
      <c r="J72" s="42"/>
      <c r="O72" s="44"/>
      <c r="P72" s="15"/>
      <c r="Q72" s="35"/>
      <c r="R72" s="15"/>
    </row>
    <row r="73" spans="1:21" s="40" customFormat="1" x14ac:dyDescent="0.25">
      <c r="E73" s="15"/>
      <c r="P73" s="15"/>
      <c r="Q73" s="35"/>
      <c r="R73" s="15"/>
    </row>
    <row r="74" spans="1:21" s="40" customFormat="1" x14ac:dyDescent="0.25">
      <c r="A74" s="15"/>
      <c r="E74" s="15"/>
      <c r="P74" s="15"/>
      <c r="Q74" s="35"/>
      <c r="R74" s="15"/>
    </row>
    <row r="75" spans="1:21" s="40" customFormat="1" x14ac:dyDescent="0.25">
      <c r="A75" s="39"/>
      <c r="B75" s="35"/>
      <c r="C75" s="35"/>
      <c r="D75" s="35"/>
      <c r="E75" s="15"/>
      <c r="F75" s="35"/>
      <c r="G75" s="35"/>
      <c r="H75" s="35"/>
      <c r="I75" s="35"/>
      <c r="J75" s="48"/>
      <c r="K75" s="44"/>
      <c r="L75" s="44"/>
      <c r="M75" s="44"/>
      <c r="O75" s="43"/>
      <c r="P75" s="15"/>
      <c r="Q75" s="43"/>
      <c r="R75" s="46"/>
      <c r="S75" s="47"/>
      <c r="T75" s="47"/>
    </row>
    <row r="76" spans="1:21" s="40" customFormat="1" x14ac:dyDescent="0.25">
      <c r="E76" s="15"/>
      <c r="P76" s="15"/>
      <c r="Q76" s="35"/>
      <c r="R76" s="15"/>
    </row>
    <row r="77" spans="1:21" s="40" customFormat="1" x14ac:dyDescent="0.25">
      <c r="A77" s="41"/>
      <c r="E77" s="15"/>
      <c r="P77" s="15"/>
      <c r="Q77" s="35"/>
      <c r="R77" s="15"/>
    </row>
    <row r="78" spans="1:21" s="40" customFormat="1" x14ac:dyDescent="0.25">
      <c r="B78" s="35"/>
      <c r="C78" s="35"/>
      <c r="D78" s="35"/>
      <c r="E78" s="15"/>
      <c r="F78" s="35"/>
      <c r="G78" s="35"/>
      <c r="H78" s="35"/>
      <c r="I78" s="35"/>
      <c r="J78" s="42"/>
      <c r="K78" s="49"/>
      <c r="L78" s="49"/>
      <c r="M78" s="49"/>
      <c r="N78" s="35"/>
      <c r="O78" s="44"/>
      <c r="P78" s="15"/>
      <c r="Q78" s="35"/>
      <c r="R78" s="15"/>
    </row>
    <row r="79" spans="1:21" s="40" customFormat="1" x14ac:dyDescent="0.25">
      <c r="A79" s="15"/>
      <c r="B79" s="35"/>
      <c r="C79" s="35"/>
      <c r="D79" s="35"/>
      <c r="E79" s="15"/>
      <c r="F79" s="35"/>
      <c r="G79" s="35"/>
      <c r="H79" s="35"/>
      <c r="I79" s="35"/>
      <c r="J79" s="42"/>
      <c r="K79" s="49"/>
      <c r="L79" s="49"/>
      <c r="M79" s="49"/>
      <c r="N79" s="35"/>
      <c r="O79" s="44"/>
      <c r="P79" s="15"/>
      <c r="Q79" s="35"/>
      <c r="R79" s="15"/>
    </row>
    <row r="80" spans="1:21" s="40" customFormat="1" x14ac:dyDescent="0.25">
      <c r="E80" s="15"/>
      <c r="P80" s="15"/>
      <c r="Q80" s="35"/>
      <c r="R80" s="15"/>
    </row>
    <row r="81" spans="1:20" s="40" customFormat="1" x14ac:dyDescent="0.25">
      <c r="A81" s="39"/>
      <c r="B81" s="35"/>
      <c r="C81" s="35"/>
      <c r="D81" s="35"/>
      <c r="E81" s="15"/>
      <c r="N81" s="35"/>
      <c r="O81" s="35"/>
      <c r="P81" s="15"/>
      <c r="Q81" s="35"/>
      <c r="R81" s="15"/>
    </row>
    <row r="82" spans="1:20" s="40" customFormat="1" x14ac:dyDescent="0.25">
      <c r="A82" s="15"/>
      <c r="B82" s="35"/>
      <c r="C82" s="35"/>
      <c r="D82" s="35"/>
      <c r="E82" s="15"/>
      <c r="F82" s="35"/>
      <c r="G82" s="35"/>
      <c r="H82" s="35"/>
      <c r="I82" s="35"/>
      <c r="J82" s="42"/>
      <c r="K82" s="49"/>
      <c r="L82" s="49"/>
      <c r="M82" s="49"/>
      <c r="N82" s="35"/>
      <c r="O82" s="44"/>
      <c r="P82" s="15"/>
      <c r="Q82" s="35"/>
      <c r="R82" s="15"/>
    </row>
    <row r="83" spans="1:20" s="40" customFormat="1" x14ac:dyDescent="0.25">
      <c r="A83" s="15"/>
      <c r="B83" s="35"/>
      <c r="C83" s="35"/>
      <c r="D83" s="35"/>
      <c r="E83" s="15"/>
      <c r="F83" s="35"/>
      <c r="G83" s="35"/>
      <c r="H83" s="35"/>
      <c r="I83" s="35"/>
      <c r="J83" s="42"/>
      <c r="K83" s="49"/>
      <c r="L83" s="49"/>
      <c r="M83" s="49"/>
      <c r="N83" s="35"/>
      <c r="O83" s="44"/>
      <c r="P83" s="15"/>
      <c r="Q83" s="35"/>
      <c r="R83" s="15"/>
    </row>
    <row r="84" spans="1:20" s="40" customFormat="1" x14ac:dyDescent="0.25">
      <c r="A84" s="15"/>
      <c r="B84" s="35"/>
      <c r="C84" s="35"/>
      <c r="D84" s="35"/>
      <c r="E84" s="15"/>
      <c r="F84" s="35"/>
      <c r="G84" s="35"/>
      <c r="H84" s="35"/>
      <c r="I84" s="35"/>
      <c r="J84" s="42"/>
      <c r="K84" s="49"/>
      <c r="L84" s="49"/>
      <c r="M84" s="49"/>
      <c r="N84" s="35"/>
      <c r="O84" s="44"/>
      <c r="P84" s="15"/>
      <c r="Q84" s="35"/>
      <c r="R84" s="15"/>
    </row>
    <row r="85" spans="1:20" s="40" customFormat="1" x14ac:dyDescent="0.25">
      <c r="A85" s="15"/>
      <c r="B85" s="35"/>
      <c r="C85" s="35"/>
      <c r="D85" s="35"/>
      <c r="E85" s="15"/>
      <c r="F85" s="35"/>
      <c r="G85" s="35"/>
      <c r="H85" s="35"/>
      <c r="I85" s="35"/>
      <c r="J85" s="42"/>
      <c r="K85" s="49"/>
      <c r="L85" s="49"/>
      <c r="M85" s="49"/>
      <c r="N85" s="35"/>
      <c r="O85" s="44"/>
      <c r="P85" s="15"/>
      <c r="Q85" s="35"/>
      <c r="R85" s="15"/>
    </row>
    <row r="86" spans="1:20" s="40" customFormat="1" x14ac:dyDescent="0.25">
      <c r="A86" s="50"/>
      <c r="B86" s="35"/>
      <c r="C86" s="35"/>
      <c r="D86" s="35"/>
      <c r="E86" s="15"/>
      <c r="F86" s="35"/>
      <c r="G86" s="35"/>
      <c r="H86" s="35"/>
      <c r="I86" s="35"/>
      <c r="J86" s="48"/>
      <c r="K86" s="44"/>
      <c r="L86" s="44"/>
      <c r="M86" s="44"/>
      <c r="O86" s="43"/>
      <c r="P86" s="15"/>
      <c r="Q86" s="43"/>
      <c r="R86" s="46"/>
      <c r="T86" s="47"/>
    </row>
    <row r="87" spans="1:20" s="40" customFormat="1" x14ac:dyDescent="0.25">
      <c r="A87" s="50"/>
      <c r="B87" s="35"/>
      <c r="C87" s="35"/>
      <c r="D87" s="35"/>
      <c r="E87" s="15"/>
      <c r="F87" s="35"/>
      <c r="G87" s="35"/>
      <c r="H87" s="35"/>
      <c r="I87" s="35"/>
      <c r="J87" s="48"/>
      <c r="K87" s="44"/>
      <c r="L87" s="44"/>
      <c r="M87" s="44"/>
      <c r="O87" s="43"/>
      <c r="P87" s="15"/>
      <c r="Q87" s="43"/>
      <c r="R87" s="46"/>
      <c r="S87" s="47"/>
      <c r="T87" s="47"/>
    </row>
    <row r="88" spans="1:20" s="40" customFormat="1" x14ac:dyDescent="0.25">
      <c r="A88" s="42"/>
      <c r="B88" s="35"/>
      <c r="C88" s="35"/>
      <c r="D88" s="35"/>
      <c r="E88" s="15"/>
      <c r="F88" s="35"/>
      <c r="G88" s="35"/>
      <c r="H88" s="35"/>
      <c r="I88" s="35"/>
      <c r="J88" s="48"/>
      <c r="K88" s="44"/>
      <c r="L88" s="44"/>
      <c r="M88" s="44"/>
      <c r="O88" s="43"/>
      <c r="P88" s="15"/>
      <c r="Q88" s="43"/>
      <c r="R88" s="4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99DE-69DA-496C-8376-9BFCA5F25F37}">
  <sheetPr codeName="Sheet3"/>
  <dimension ref="A1:X105"/>
  <sheetViews>
    <sheetView workbookViewId="0">
      <pane xSplit="1" ySplit="2" topLeftCell="R81" activePane="bottomRight" state="frozen"/>
      <selection pane="topRight" activeCell="B1" sqref="B1"/>
      <selection pane="bottomLeft" activeCell="A3" sqref="A3"/>
      <selection pane="bottomRight" activeCell="V1" sqref="V1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136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x14ac:dyDescent="0.25">
      <c r="A3" s="17" t="s">
        <v>148</v>
      </c>
      <c r="B3" s="8"/>
      <c r="C3" s="8"/>
      <c r="D3" s="8"/>
      <c r="E3" s="3"/>
      <c r="F3" s="8"/>
      <c r="G3" s="8"/>
      <c r="O3" s="8"/>
      <c r="P3" s="3"/>
      <c r="Q3" s="8"/>
      <c r="S3" s="4"/>
      <c r="T3" s="4"/>
      <c r="U3" s="4"/>
      <c r="V3" s="4"/>
      <c r="W3" s="4"/>
      <c r="X3" s="4"/>
    </row>
    <row r="4" spans="1:24" x14ac:dyDescent="0.25">
      <c r="A4" s="27" t="s">
        <v>229</v>
      </c>
      <c r="B4" s="8"/>
      <c r="C4" s="8"/>
      <c r="D4" s="8"/>
      <c r="E4" s="3"/>
      <c r="F4" s="8"/>
      <c r="G4" s="8"/>
      <c r="O4" s="8"/>
      <c r="P4" s="3"/>
      <c r="Q4" s="8"/>
      <c r="S4" s="4"/>
      <c r="T4" s="4"/>
      <c r="U4" s="4"/>
      <c r="V4" s="4"/>
      <c r="W4" s="4"/>
      <c r="X4" s="4"/>
    </row>
    <row r="5" spans="1:24" x14ac:dyDescent="0.25">
      <c r="A5" s="6">
        <v>8</v>
      </c>
      <c r="B5" s="4">
        <v>1523</v>
      </c>
      <c r="C5" s="4">
        <v>625</v>
      </c>
      <c r="D5" s="4"/>
      <c r="E5" s="6">
        <v>65</v>
      </c>
      <c r="F5" s="21">
        <v>101</v>
      </c>
      <c r="G5" s="21">
        <v>601</v>
      </c>
      <c r="H5" s="21">
        <v>200</v>
      </c>
      <c r="I5" s="22" t="s">
        <v>6</v>
      </c>
      <c r="J5" s="21">
        <v>0.8</v>
      </c>
      <c r="K5" s="21"/>
      <c r="L5" s="21"/>
      <c r="M5" s="21"/>
      <c r="N5" s="21">
        <v>70</v>
      </c>
      <c r="O5" s="23">
        <v>4890000</v>
      </c>
      <c r="P5" s="6">
        <v>4.7</v>
      </c>
      <c r="Q5" s="4"/>
      <c r="R5" s="6"/>
      <c r="S5" s="4">
        <v>3.1</v>
      </c>
      <c r="T5" s="4">
        <v>9.6</v>
      </c>
      <c r="U5" s="4"/>
      <c r="V5" s="4"/>
      <c r="W5" s="4"/>
      <c r="X5" s="4"/>
    </row>
    <row r="6" spans="1:24" x14ac:dyDescent="0.25">
      <c r="A6" s="6">
        <v>9</v>
      </c>
      <c r="B6" s="4">
        <v>1523</v>
      </c>
      <c r="C6" s="4">
        <v>625</v>
      </c>
      <c r="D6" s="4"/>
      <c r="E6" s="6">
        <v>78</v>
      </c>
      <c r="F6" s="21">
        <v>101</v>
      </c>
      <c r="G6" s="21">
        <v>601</v>
      </c>
      <c r="H6" s="21">
        <v>200</v>
      </c>
      <c r="I6" s="22" t="s">
        <v>6</v>
      </c>
      <c r="J6" s="21">
        <v>0.8</v>
      </c>
      <c r="K6" s="21"/>
      <c r="L6" s="21"/>
      <c r="M6" s="21"/>
      <c r="N6" s="21">
        <v>70</v>
      </c>
      <c r="O6" s="23">
        <v>4890000</v>
      </c>
      <c r="P6" s="6">
        <v>4.7</v>
      </c>
      <c r="Q6" s="4"/>
      <c r="R6" s="6"/>
      <c r="S6" s="4" t="s">
        <v>79</v>
      </c>
      <c r="T6" s="4"/>
      <c r="U6" s="4"/>
      <c r="V6" s="4"/>
      <c r="W6" s="4"/>
      <c r="X6" s="4" t="s">
        <v>139</v>
      </c>
    </row>
    <row r="7" spans="1:24" x14ac:dyDescent="0.25">
      <c r="A7" s="6">
        <v>16</v>
      </c>
      <c r="B7" s="4">
        <v>1523</v>
      </c>
      <c r="C7" s="4">
        <v>625</v>
      </c>
      <c r="D7" s="4"/>
      <c r="E7" s="6">
        <v>156</v>
      </c>
      <c r="F7" s="4">
        <v>101</v>
      </c>
      <c r="G7" s="4">
        <v>601</v>
      </c>
      <c r="H7" s="21">
        <v>200</v>
      </c>
      <c r="I7" s="22" t="s">
        <v>6</v>
      </c>
      <c r="J7" s="22">
        <v>0.8</v>
      </c>
      <c r="K7" s="22"/>
      <c r="L7" s="22"/>
      <c r="M7" s="22"/>
      <c r="N7" s="4">
        <v>70</v>
      </c>
      <c r="O7" s="25">
        <v>4890000</v>
      </c>
      <c r="P7" s="15">
        <v>4.7</v>
      </c>
      <c r="Q7" s="35"/>
      <c r="R7" s="15"/>
      <c r="S7" s="24"/>
      <c r="T7" s="4"/>
      <c r="U7" s="21"/>
      <c r="V7" s="21"/>
      <c r="W7" s="4"/>
      <c r="X7" s="21"/>
    </row>
    <row r="8" spans="1:24" x14ac:dyDescent="0.25">
      <c r="A8" s="6">
        <v>19</v>
      </c>
      <c r="B8" s="4">
        <v>1523</v>
      </c>
      <c r="C8" s="4">
        <v>625</v>
      </c>
      <c r="D8" s="4"/>
      <c r="E8" s="6">
        <v>100</v>
      </c>
      <c r="F8" s="4">
        <v>101</v>
      </c>
      <c r="G8" s="4">
        <v>601</v>
      </c>
      <c r="H8" s="21">
        <v>200</v>
      </c>
      <c r="I8" s="22" t="s">
        <v>6</v>
      </c>
      <c r="J8" s="22">
        <v>0.8</v>
      </c>
      <c r="K8" s="22"/>
      <c r="L8" s="22"/>
      <c r="M8" s="22"/>
      <c r="N8" s="4">
        <v>70</v>
      </c>
      <c r="O8" s="25">
        <v>4890000</v>
      </c>
      <c r="P8" s="15">
        <v>4.7</v>
      </c>
      <c r="Q8" s="35"/>
      <c r="R8" s="15"/>
      <c r="S8" s="21"/>
      <c r="T8" s="21"/>
      <c r="U8" s="21"/>
      <c r="V8" s="21"/>
      <c r="W8" s="4"/>
      <c r="X8" s="21"/>
    </row>
    <row r="9" spans="1:24" x14ac:dyDescent="0.25">
      <c r="A9" s="6">
        <v>20</v>
      </c>
      <c r="B9" s="4">
        <v>1523</v>
      </c>
      <c r="C9" s="4">
        <v>625</v>
      </c>
      <c r="D9" s="4"/>
      <c r="E9" s="6">
        <v>65</v>
      </c>
      <c r="F9" s="4">
        <v>101</v>
      </c>
      <c r="G9" s="4">
        <v>601</v>
      </c>
      <c r="H9" s="21">
        <v>200</v>
      </c>
      <c r="I9" s="22" t="s">
        <v>6</v>
      </c>
      <c r="J9" s="22">
        <v>0.8</v>
      </c>
      <c r="K9" s="22"/>
      <c r="L9" s="22"/>
      <c r="M9" s="22"/>
      <c r="N9" s="4">
        <v>70</v>
      </c>
      <c r="O9" s="25">
        <v>4890000</v>
      </c>
      <c r="P9" s="15">
        <v>3.5</v>
      </c>
      <c r="Q9" s="35"/>
      <c r="R9" s="15"/>
      <c r="S9" s="21"/>
      <c r="T9" s="21"/>
      <c r="U9" s="21"/>
      <c r="V9" s="21"/>
      <c r="W9" s="4"/>
      <c r="X9" s="21"/>
    </row>
    <row r="10" spans="1:24" x14ac:dyDescent="0.25">
      <c r="A10" s="6">
        <v>17</v>
      </c>
      <c r="B10" s="4">
        <v>1523</v>
      </c>
      <c r="C10" s="4">
        <v>625</v>
      </c>
      <c r="D10" s="4"/>
      <c r="E10" s="6">
        <v>65</v>
      </c>
      <c r="F10" s="4">
        <v>101</v>
      </c>
      <c r="G10" s="4">
        <v>601</v>
      </c>
      <c r="H10" s="21">
        <v>200</v>
      </c>
      <c r="I10" s="22" t="s">
        <v>6</v>
      </c>
      <c r="J10" s="22">
        <v>0.8</v>
      </c>
      <c r="K10" s="22"/>
      <c r="L10" s="22"/>
      <c r="M10" s="22"/>
      <c r="N10" s="21">
        <v>70</v>
      </c>
      <c r="O10" s="23">
        <v>4890000</v>
      </c>
      <c r="P10" s="15">
        <v>4</v>
      </c>
      <c r="Q10" s="35"/>
      <c r="R10" s="15"/>
      <c r="S10" s="21"/>
      <c r="T10" s="21"/>
      <c r="U10" s="21"/>
      <c r="V10" s="21"/>
      <c r="W10" s="4"/>
      <c r="X10" s="21"/>
    </row>
    <row r="11" spans="1:24" x14ac:dyDescent="0.25">
      <c r="A11" s="6">
        <v>18</v>
      </c>
      <c r="B11" s="4">
        <v>1523</v>
      </c>
      <c r="C11" s="4">
        <v>625</v>
      </c>
      <c r="D11" s="4"/>
      <c r="E11" s="6">
        <v>65</v>
      </c>
      <c r="F11" s="4">
        <v>101</v>
      </c>
      <c r="G11" s="4">
        <v>601</v>
      </c>
      <c r="H11" s="21">
        <v>200</v>
      </c>
      <c r="I11" s="22" t="s">
        <v>6</v>
      </c>
      <c r="J11" s="22">
        <v>0.8</v>
      </c>
      <c r="K11" s="22"/>
      <c r="L11" s="22"/>
      <c r="M11" s="22"/>
      <c r="N11" s="21">
        <v>70</v>
      </c>
      <c r="O11" s="23">
        <v>4890000</v>
      </c>
      <c r="P11" s="15">
        <v>5</v>
      </c>
      <c r="Q11" s="35"/>
      <c r="R11" s="15"/>
      <c r="S11" s="21" t="s">
        <v>79</v>
      </c>
      <c r="T11" s="21"/>
      <c r="U11" s="21"/>
      <c r="V11" s="21"/>
      <c r="W11" s="4"/>
      <c r="X11" s="4" t="s">
        <v>141</v>
      </c>
    </row>
    <row r="12" spans="1:24" x14ac:dyDescent="0.25">
      <c r="A12" s="6">
        <v>11</v>
      </c>
      <c r="B12" s="4">
        <v>1523</v>
      </c>
      <c r="C12" s="4">
        <v>625</v>
      </c>
      <c r="D12" s="4"/>
      <c r="E12" s="6">
        <v>65</v>
      </c>
      <c r="F12" s="21">
        <v>101</v>
      </c>
      <c r="G12" s="21">
        <v>601</v>
      </c>
      <c r="H12" s="21">
        <v>200</v>
      </c>
      <c r="I12" s="22" t="s">
        <v>6</v>
      </c>
      <c r="J12" s="21">
        <v>0.8</v>
      </c>
      <c r="K12" s="21"/>
      <c r="L12" s="21"/>
      <c r="M12" s="21"/>
      <c r="N12" s="21">
        <v>48</v>
      </c>
      <c r="O12" s="23">
        <v>4890000</v>
      </c>
      <c r="P12" s="6">
        <v>4.7</v>
      </c>
      <c r="Q12" s="4"/>
      <c r="R12" s="6"/>
      <c r="S12" s="4">
        <v>0.18</v>
      </c>
      <c r="T12" s="4">
        <v>13.5</v>
      </c>
      <c r="U12" s="4">
        <v>7800</v>
      </c>
      <c r="V12" s="25">
        <v>700000</v>
      </c>
      <c r="W12" s="21" t="s">
        <v>138</v>
      </c>
      <c r="X12" s="21"/>
    </row>
    <row r="13" spans="1:24" x14ac:dyDescent="0.25">
      <c r="A13" s="6">
        <v>6</v>
      </c>
      <c r="B13" s="4">
        <v>1523</v>
      </c>
      <c r="C13" s="4">
        <v>625</v>
      </c>
      <c r="D13" s="4"/>
      <c r="E13" s="6">
        <v>78</v>
      </c>
      <c r="F13" s="21">
        <v>101</v>
      </c>
      <c r="G13" s="21">
        <v>601</v>
      </c>
      <c r="H13" s="21">
        <v>200</v>
      </c>
      <c r="I13" s="22" t="s">
        <v>6</v>
      </c>
      <c r="J13" s="21">
        <v>0.8</v>
      </c>
      <c r="K13" s="21"/>
      <c r="L13" s="21"/>
      <c r="M13" s="21"/>
      <c r="N13" s="21">
        <v>48</v>
      </c>
      <c r="O13" s="23">
        <v>4890000</v>
      </c>
      <c r="P13" s="6">
        <v>4.7</v>
      </c>
      <c r="Q13" s="4"/>
      <c r="R13" s="6"/>
      <c r="S13" s="4">
        <v>0.24</v>
      </c>
      <c r="T13" s="4">
        <v>15.1</v>
      </c>
      <c r="U13" s="4">
        <v>7800</v>
      </c>
      <c r="V13" s="25"/>
      <c r="W13" s="21"/>
      <c r="X13" s="21"/>
    </row>
    <row r="14" spans="1:24" x14ac:dyDescent="0.25">
      <c r="A14" s="6">
        <v>12</v>
      </c>
      <c r="B14" s="4">
        <v>1523</v>
      </c>
      <c r="C14" s="4">
        <v>625</v>
      </c>
      <c r="D14" s="4"/>
      <c r="E14" s="6">
        <v>100</v>
      </c>
      <c r="F14" s="21">
        <v>101</v>
      </c>
      <c r="G14" s="21">
        <v>601</v>
      </c>
      <c r="H14" s="21">
        <v>200</v>
      </c>
      <c r="I14" s="22" t="s">
        <v>6</v>
      </c>
      <c r="J14" s="21">
        <v>0.8</v>
      </c>
      <c r="K14" s="21"/>
      <c r="L14" s="21"/>
      <c r="M14" s="21"/>
      <c r="N14" s="4">
        <v>48</v>
      </c>
      <c r="O14" s="4">
        <v>4890000</v>
      </c>
      <c r="P14" s="6">
        <v>4.7</v>
      </c>
      <c r="Q14" s="4"/>
      <c r="R14" s="6"/>
      <c r="S14" s="4">
        <v>0.45</v>
      </c>
      <c r="T14" s="4">
        <v>17.2</v>
      </c>
      <c r="U14" s="4">
        <v>7800</v>
      </c>
      <c r="V14" s="25">
        <v>900000</v>
      </c>
      <c r="W14" s="21" t="s">
        <v>140</v>
      </c>
      <c r="X14" s="21"/>
    </row>
    <row r="15" spans="1:24" x14ac:dyDescent="0.25">
      <c r="A15" s="6">
        <v>2</v>
      </c>
      <c r="B15" s="4">
        <v>1523</v>
      </c>
      <c r="C15" s="4">
        <v>625</v>
      </c>
      <c r="D15" s="4"/>
      <c r="E15" s="6">
        <v>156</v>
      </c>
      <c r="F15" s="21">
        <v>101</v>
      </c>
      <c r="G15" s="21">
        <v>601</v>
      </c>
      <c r="H15" s="21">
        <v>200</v>
      </c>
      <c r="I15" s="22" t="s">
        <v>6</v>
      </c>
      <c r="J15" s="21">
        <v>0.8</v>
      </c>
      <c r="K15" s="21"/>
      <c r="L15" s="21"/>
      <c r="M15" s="21"/>
      <c r="N15" s="21">
        <v>48</v>
      </c>
      <c r="O15" s="23">
        <v>4890000</v>
      </c>
      <c r="P15" s="6">
        <v>4.7</v>
      </c>
      <c r="Q15" s="4"/>
      <c r="R15" s="6"/>
      <c r="S15" s="21">
        <v>6.1</v>
      </c>
      <c r="T15" s="4">
        <v>19.3</v>
      </c>
      <c r="U15" s="21"/>
      <c r="V15" s="21"/>
      <c r="W15" s="4"/>
      <c r="X15" s="21"/>
    </row>
    <row r="16" spans="1:24" x14ac:dyDescent="0.25">
      <c r="A16" s="6">
        <v>14</v>
      </c>
      <c r="B16" s="4">
        <v>1523</v>
      </c>
      <c r="C16" s="4">
        <v>625</v>
      </c>
      <c r="D16" s="4"/>
      <c r="E16" s="6">
        <v>65</v>
      </c>
      <c r="F16" s="4">
        <v>101</v>
      </c>
      <c r="G16" s="4">
        <v>601</v>
      </c>
      <c r="H16" s="21">
        <v>200</v>
      </c>
      <c r="I16" s="22" t="s">
        <v>6</v>
      </c>
      <c r="J16" s="22">
        <v>0.8</v>
      </c>
      <c r="K16" s="22"/>
      <c r="L16" s="22"/>
      <c r="M16" s="22"/>
      <c r="N16" s="21">
        <v>48</v>
      </c>
      <c r="O16" s="25">
        <v>4890000</v>
      </c>
      <c r="P16" s="15">
        <v>3.5</v>
      </c>
      <c r="Q16" s="35"/>
      <c r="R16" s="15"/>
      <c r="S16" s="4">
        <v>0.21</v>
      </c>
      <c r="T16" s="4">
        <v>10.7</v>
      </c>
      <c r="U16" s="4">
        <v>6000</v>
      </c>
      <c r="V16" s="25">
        <v>700000</v>
      </c>
      <c r="W16" s="4" t="s">
        <v>142</v>
      </c>
      <c r="X16" s="21"/>
    </row>
    <row r="17" spans="1:24" x14ac:dyDescent="0.25">
      <c r="A17" s="16">
        <v>13</v>
      </c>
      <c r="B17" s="4">
        <v>1523</v>
      </c>
      <c r="C17" s="4">
        <v>625</v>
      </c>
      <c r="D17" s="4"/>
      <c r="E17" s="6">
        <v>65</v>
      </c>
      <c r="F17" s="21">
        <v>101</v>
      </c>
      <c r="G17" s="21">
        <v>601</v>
      </c>
      <c r="H17" s="21">
        <v>200</v>
      </c>
      <c r="I17" s="22" t="s">
        <v>6</v>
      </c>
      <c r="J17" s="21">
        <v>0.8</v>
      </c>
      <c r="K17" s="21"/>
      <c r="L17" s="21"/>
      <c r="M17" s="21"/>
      <c r="N17" s="4">
        <v>48</v>
      </c>
      <c r="O17" s="4">
        <v>4890000</v>
      </c>
      <c r="P17" s="6">
        <v>4</v>
      </c>
      <c r="Q17" s="4"/>
      <c r="R17" s="6"/>
      <c r="S17" s="4">
        <v>0.19</v>
      </c>
      <c r="T17" s="4">
        <v>12</v>
      </c>
      <c r="U17" s="4">
        <v>6600</v>
      </c>
      <c r="V17" s="25">
        <v>800000</v>
      </c>
      <c r="W17" s="4" t="s">
        <v>142</v>
      </c>
      <c r="X17" s="21"/>
    </row>
    <row r="18" spans="1:24" x14ac:dyDescent="0.25">
      <c r="A18" s="6">
        <v>15</v>
      </c>
      <c r="B18" s="4">
        <v>1523</v>
      </c>
      <c r="C18" s="4">
        <v>625</v>
      </c>
      <c r="D18" s="4"/>
      <c r="E18" s="6">
        <v>65</v>
      </c>
      <c r="F18" s="4">
        <v>101</v>
      </c>
      <c r="G18" s="4">
        <v>601</v>
      </c>
      <c r="H18" s="21">
        <v>200</v>
      </c>
      <c r="I18" s="22" t="s">
        <v>6</v>
      </c>
      <c r="J18" s="22">
        <v>0.8</v>
      </c>
      <c r="K18" s="22"/>
      <c r="L18" s="22"/>
      <c r="M18" s="22"/>
      <c r="N18" s="4">
        <v>48</v>
      </c>
      <c r="O18" s="25">
        <v>4890000</v>
      </c>
      <c r="P18" s="15">
        <v>5</v>
      </c>
      <c r="Q18" s="35"/>
      <c r="R18" s="15"/>
      <c r="S18" s="4">
        <v>0.17</v>
      </c>
      <c r="T18" s="4">
        <v>14.2</v>
      </c>
      <c r="U18" s="4">
        <v>8000</v>
      </c>
      <c r="V18" s="25">
        <v>1000000</v>
      </c>
      <c r="W18" s="4" t="s">
        <v>142</v>
      </c>
      <c r="X18" s="21"/>
    </row>
    <row r="19" spans="1:24" x14ac:dyDescent="0.25">
      <c r="A19" s="16" t="s">
        <v>308</v>
      </c>
      <c r="B19" s="4"/>
      <c r="C19" s="4"/>
      <c r="D19" s="4"/>
      <c r="E19" s="6"/>
      <c r="F19" s="4"/>
      <c r="G19" s="4"/>
      <c r="H19" s="21"/>
      <c r="I19" s="22"/>
      <c r="J19" s="22"/>
      <c r="K19" s="22"/>
      <c r="L19" s="22"/>
      <c r="M19" s="22"/>
      <c r="N19" s="4"/>
      <c r="O19" s="25"/>
      <c r="P19" s="15"/>
      <c r="Q19" s="35"/>
      <c r="R19" s="15"/>
      <c r="S19" s="4"/>
      <c r="T19" s="4"/>
      <c r="U19" s="4"/>
      <c r="V19" s="25"/>
      <c r="W19" s="4"/>
      <c r="X19" s="21"/>
    </row>
    <row r="20" spans="1:24" x14ac:dyDescent="0.25">
      <c r="A20" s="6"/>
      <c r="B20" s="4">
        <v>3065</v>
      </c>
      <c r="C20" s="4" t="s">
        <v>216</v>
      </c>
      <c r="D20" s="4"/>
      <c r="E20" s="6">
        <v>65</v>
      </c>
      <c r="F20" s="4">
        <v>100</v>
      </c>
      <c r="G20" s="4">
        <v>600</v>
      </c>
      <c r="H20" s="4">
        <v>200</v>
      </c>
      <c r="I20" s="21" t="s">
        <v>6</v>
      </c>
      <c r="J20" s="22">
        <v>0.8</v>
      </c>
      <c r="K20" s="22"/>
      <c r="L20" s="22"/>
      <c r="M20" s="22"/>
      <c r="N20" s="4">
        <v>48</v>
      </c>
      <c r="O20" s="25">
        <v>4890000</v>
      </c>
      <c r="P20" s="15">
        <v>4.07</v>
      </c>
      <c r="Q20" s="35"/>
      <c r="R20" s="15"/>
      <c r="S20" s="21">
        <v>0.3</v>
      </c>
      <c r="T20" s="21">
        <v>6.71</v>
      </c>
      <c r="U20" s="21"/>
      <c r="W20" s="21" t="s">
        <v>217</v>
      </c>
    </row>
    <row r="21" spans="1:24" x14ac:dyDescent="0.25">
      <c r="A21" s="6">
        <v>2</v>
      </c>
      <c r="B21" s="4">
        <v>3065</v>
      </c>
      <c r="C21" s="4" t="s">
        <v>186</v>
      </c>
      <c r="D21" s="4"/>
      <c r="E21" s="6">
        <v>65</v>
      </c>
      <c r="F21" s="4">
        <v>100</v>
      </c>
      <c r="G21" s="4">
        <v>600</v>
      </c>
      <c r="H21" s="4">
        <v>200</v>
      </c>
      <c r="I21" s="21" t="s">
        <v>6</v>
      </c>
      <c r="J21" s="22">
        <v>0.8</v>
      </c>
      <c r="K21" s="22"/>
      <c r="L21" s="22"/>
      <c r="M21" s="22"/>
      <c r="N21" s="4">
        <v>48</v>
      </c>
      <c r="O21" s="25">
        <v>4890000</v>
      </c>
      <c r="P21" s="15">
        <v>2.78</v>
      </c>
      <c r="Q21" s="35"/>
      <c r="R21" s="15"/>
      <c r="S21" s="21">
        <v>0.38</v>
      </c>
      <c r="T21" s="21">
        <v>4.72</v>
      </c>
      <c r="U21" s="4">
        <v>2900</v>
      </c>
      <c r="V21" s="21"/>
      <c r="W21" s="4" t="s">
        <v>218</v>
      </c>
      <c r="X21" s="21" t="s">
        <v>219</v>
      </c>
    </row>
    <row r="22" spans="1:24" x14ac:dyDescent="0.25">
      <c r="A22" s="6"/>
      <c r="B22" s="4">
        <v>3065</v>
      </c>
      <c r="C22" s="4" t="s">
        <v>186</v>
      </c>
      <c r="D22" s="4"/>
      <c r="E22" s="6">
        <v>65</v>
      </c>
      <c r="F22" s="4">
        <v>100</v>
      </c>
      <c r="G22" s="4">
        <v>600</v>
      </c>
      <c r="H22" s="4">
        <v>100</v>
      </c>
      <c r="I22" s="21" t="s">
        <v>6</v>
      </c>
      <c r="J22" s="22">
        <v>0.8</v>
      </c>
      <c r="K22" s="22"/>
      <c r="L22" s="22"/>
      <c r="M22" s="22"/>
      <c r="N22" s="4">
        <v>48</v>
      </c>
      <c r="O22" s="25">
        <v>4890000</v>
      </c>
      <c r="P22" s="15">
        <v>2.78</v>
      </c>
      <c r="Q22" s="35"/>
      <c r="R22" s="15"/>
      <c r="S22" s="21">
        <v>2.4500000000000002</v>
      </c>
      <c r="T22" s="21">
        <v>4.24</v>
      </c>
      <c r="U22" s="4">
        <v>2900</v>
      </c>
      <c r="W22" s="21" t="s">
        <v>220</v>
      </c>
      <c r="X22" s="21" t="s">
        <v>221</v>
      </c>
    </row>
    <row r="23" spans="1:24" x14ac:dyDescent="0.25">
      <c r="B23" s="4">
        <v>3065</v>
      </c>
      <c r="C23" s="4" t="s">
        <v>186</v>
      </c>
      <c r="D23" s="4"/>
      <c r="E23" s="6">
        <v>65</v>
      </c>
      <c r="F23" s="4">
        <v>100</v>
      </c>
      <c r="G23" s="4">
        <v>600</v>
      </c>
      <c r="H23" s="4">
        <v>0</v>
      </c>
      <c r="I23" s="21" t="s">
        <v>6</v>
      </c>
      <c r="J23" s="22">
        <v>0.8</v>
      </c>
      <c r="K23" s="22"/>
      <c r="L23" s="22"/>
      <c r="M23" s="22"/>
      <c r="N23" s="4">
        <v>48</v>
      </c>
      <c r="O23" s="25">
        <v>4890000</v>
      </c>
      <c r="P23" s="15">
        <v>2.78</v>
      </c>
      <c r="Q23" s="35"/>
      <c r="R23" s="15"/>
      <c r="S23" s="21" t="s">
        <v>79</v>
      </c>
      <c r="T23" s="21" t="s">
        <v>79</v>
      </c>
      <c r="U23" s="4">
        <v>335</v>
      </c>
      <c r="W23" s="21" t="s">
        <v>204</v>
      </c>
      <c r="X23" s="21" t="s">
        <v>222</v>
      </c>
    </row>
    <row r="24" spans="1:24" x14ac:dyDescent="0.25">
      <c r="A24" s="6"/>
      <c r="B24" s="4">
        <v>3065</v>
      </c>
      <c r="C24" s="4" t="s">
        <v>186</v>
      </c>
      <c r="D24" s="4"/>
      <c r="E24" s="6">
        <v>65</v>
      </c>
      <c r="F24" s="4">
        <v>100</v>
      </c>
      <c r="G24" s="4">
        <v>600</v>
      </c>
      <c r="H24" s="4">
        <v>200</v>
      </c>
      <c r="I24" s="21" t="s">
        <v>6</v>
      </c>
      <c r="J24" s="22">
        <v>0.8</v>
      </c>
      <c r="K24" s="22"/>
      <c r="L24" s="22"/>
      <c r="M24" s="22"/>
      <c r="N24" s="4">
        <v>48</v>
      </c>
      <c r="O24" s="25">
        <v>4890000</v>
      </c>
      <c r="P24" s="15">
        <v>2.78</v>
      </c>
      <c r="Q24" s="35"/>
      <c r="R24" s="15"/>
      <c r="S24" s="21">
        <v>0.3</v>
      </c>
      <c r="T24" s="21">
        <v>4.03</v>
      </c>
      <c r="U24" s="4">
        <v>2970</v>
      </c>
      <c r="W24" s="21" t="s">
        <v>223</v>
      </c>
      <c r="X24" s="21" t="s">
        <v>224</v>
      </c>
    </row>
    <row r="25" spans="1:24" x14ac:dyDescent="0.25">
      <c r="A25" s="6"/>
      <c r="B25" s="4">
        <v>3065</v>
      </c>
      <c r="C25" s="4" t="s">
        <v>186</v>
      </c>
      <c r="D25" s="4"/>
      <c r="E25" s="6">
        <v>65</v>
      </c>
      <c r="F25" s="4">
        <v>100</v>
      </c>
      <c r="G25" s="4">
        <v>600</v>
      </c>
      <c r="H25" s="4">
        <v>200</v>
      </c>
      <c r="I25" s="21">
        <v>1000</v>
      </c>
      <c r="J25" s="22" t="s">
        <v>6</v>
      </c>
      <c r="K25" s="22"/>
      <c r="L25" s="22"/>
      <c r="M25" s="22"/>
      <c r="N25" s="4">
        <v>48</v>
      </c>
      <c r="O25" s="25">
        <v>4890000</v>
      </c>
      <c r="P25" s="15">
        <v>2.78</v>
      </c>
      <c r="Q25" s="35"/>
      <c r="R25" s="15"/>
      <c r="S25" s="21">
        <v>0.37</v>
      </c>
      <c r="T25" s="21">
        <v>4.75</v>
      </c>
      <c r="U25" s="21"/>
      <c r="W25" s="21" t="s">
        <v>225</v>
      </c>
      <c r="X25" s="21" t="s">
        <v>226</v>
      </c>
    </row>
    <row r="26" spans="1:24" x14ac:dyDescent="0.25">
      <c r="A26" s="6">
        <v>5</v>
      </c>
      <c r="B26" s="4">
        <v>3065</v>
      </c>
      <c r="C26" s="4" t="s">
        <v>186</v>
      </c>
      <c r="D26" s="4"/>
      <c r="E26" s="6">
        <v>65</v>
      </c>
      <c r="F26" s="4">
        <v>100</v>
      </c>
      <c r="G26" s="4">
        <v>600</v>
      </c>
      <c r="H26" s="4">
        <v>200</v>
      </c>
      <c r="I26" s="21" t="s">
        <v>6</v>
      </c>
      <c r="J26" s="22">
        <v>0.8</v>
      </c>
      <c r="K26" s="22"/>
      <c r="L26" s="22"/>
      <c r="M26" s="22"/>
      <c r="N26" s="4">
        <v>48</v>
      </c>
      <c r="O26" s="25">
        <v>4890000</v>
      </c>
      <c r="P26" s="15">
        <v>2.78</v>
      </c>
      <c r="Q26" s="35"/>
      <c r="R26" s="15"/>
      <c r="S26" s="21">
        <v>0.38</v>
      </c>
      <c r="T26" s="21">
        <v>4.72</v>
      </c>
      <c r="U26" s="21"/>
      <c r="W26" s="21" t="s">
        <v>225</v>
      </c>
      <c r="X26" s="21" t="s">
        <v>227</v>
      </c>
    </row>
    <row r="27" spans="1:24" x14ac:dyDescent="0.25">
      <c r="A27" s="6">
        <v>6</v>
      </c>
      <c r="B27" s="4">
        <v>3065</v>
      </c>
      <c r="C27" s="4" t="s">
        <v>186</v>
      </c>
      <c r="D27" s="4"/>
      <c r="E27" s="6">
        <v>65</v>
      </c>
      <c r="F27" s="4">
        <v>100</v>
      </c>
      <c r="G27" s="4">
        <v>600</v>
      </c>
      <c r="H27" s="4">
        <v>200</v>
      </c>
      <c r="I27" s="21" t="s">
        <v>6</v>
      </c>
      <c r="J27" s="22">
        <v>0.8</v>
      </c>
      <c r="K27" s="22"/>
      <c r="L27" s="22"/>
      <c r="M27" s="22"/>
      <c r="N27" s="4">
        <v>48</v>
      </c>
      <c r="O27" s="25">
        <v>4890000</v>
      </c>
      <c r="P27" s="15">
        <v>2.78</v>
      </c>
      <c r="Q27" s="35"/>
      <c r="R27" s="15"/>
      <c r="S27" s="21"/>
      <c r="T27" s="21"/>
      <c r="U27" s="21"/>
      <c r="W27" s="21"/>
      <c r="X27" s="21" t="s">
        <v>228</v>
      </c>
    </row>
    <row r="28" spans="1:24" x14ac:dyDescent="0.25">
      <c r="A28" s="6" t="s">
        <v>285</v>
      </c>
      <c r="B28" s="4"/>
      <c r="C28" s="4"/>
      <c r="D28" s="4"/>
      <c r="E28" s="6"/>
      <c r="F28" s="4"/>
      <c r="G28" s="4"/>
      <c r="H28" s="4"/>
      <c r="I28" s="21"/>
      <c r="J28" s="22"/>
      <c r="K28" s="22"/>
      <c r="L28" s="22"/>
      <c r="M28" s="22"/>
      <c r="N28" s="4"/>
      <c r="O28" s="25"/>
      <c r="P28" s="15"/>
      <c r="Q28" s="35"/>
      <c r="R28" s="15"/>
      <c r="S28" s="21"/>
      <c r="T28" s="21"/>
      <c r="U28" s="21"/>
      <c r="W28" s="21"/>
      <c r="X28" s="21"/>
    </row>
    <row r="29" spans="1:24" x14ac:dyDescent="0.25">
      <c r="A29" s="17">
        <v>7</v>
      </c>
      <c r="B29" s="4" t="s">
        <v>284</v>
      </c>
      <c r="C29" s="8" t="s">
        <v>186</v>
      </c>
      <c r="D29" s="8"/>
      <c r="E29" s="3">
        <v>65</v>
      </c>
      <c r="F29" s="4">
        <v>100</v>
      </c>
      <c r="G29" s="4">
        <v>100</v>
      </c>
      <c r="H29" s="4">
        <v>200</v>
      </c>
      <c r="I29" s="4">
        <v>10</v>
      </c>
      <c r="J29" s="4">
        <v>15</v>
      </c>
      <c r="K29" s="2">
        <v>1.0000000000000001E-5</v>
      </c>
      <c r="L29" s="2">
        <v>4.0000000000000001E-8</v>
      </c>
      <c r="M29" s="2"/>
      <c r="N29">
        <v>48</v>
      </c>
      <c r="O29" s="9">
        <v>4890000</v>
      </c>
      <c r="P29" s="3">
        <v>2.78</v>
      </c>
      <c r="Q29" s="9">
        <v>1E-10</v>
      </c>
      <c r="R29" s="36">
        <v>5.9999999999999995E-4</v>
      </c>
      <c r="S29" s="33">
        <v>0.53</v>
      </c>
      <c r="T29" s="33">
        <v>2.96</v>
      </c>
      <c r="U29" s="21"/>
      <c r="W29" s="21" t="s">
        <v>283</v>
      </c>
      <c r="X29" s="21" t="s">
        <v>282</v>
      </c>
    </row>
    <row r="30" spans="1:24" x14ac:dyDescent="0.25">
      <c r="A30" s="17">
        <v>8</v>
      </c>
      <c r="B30" s="4" t="s">
        <v>284</v>
      </c>
      <c r="C30" s="8" t="s">
        <v>186</v>
      </c>
      <c r="D30" s="8"/>
      <c r="E30" s="3">
        <v>65</v>
      </c>
      <c r="F30" s="4">
        <v>100</v>
      </c>
      <c r="G30" s="4">
        <v>100</v>
      </c>
      <c r="H30" s="4">
        <v>200</v>
      </c>
      <c r="I30" s="4">
        <v>10</v>
      </c>
      <c r="J30" s="34">
        <v>15</v>
      </c>
      <c r="K30" s="2">
        <v>1.0000000000000001E-5</v>
      </c>
      <c r="L30" s="2">
        <v>4.0000000000000001E-8</v>
      </c>
      <c r="M30" s="2"/>
      <c r="N30">
        <v>48</v>
      </c>
      <c r="O30" s="9">
        <v>4890000</v>
      </c>
      <c r="P30" s="3">
        <v>2.78</v>
      </c>
      <c r="Q30" s="9">
        <v>1.0000000000000001E-9</v>
      </c>
      <c r="R30" s="36">
        <v>2.9999999999999997E-4</v>
      </c>
      <c r="S30" s="33">
        <v>0.16</v>
      </c>
      <c r="T30" s="33">
        <v>6.32</v>
      </c>
      <c r="U30" s="21"/>
      <c r="W30" s="21" t="s">
        <v>283</v>
      </c>
      <c r="X30" s="21" t="s">
        <v>286</v>
      </c>
    </row>
    <row r="31" spans="1:24" x14ac:dyDescent="0.25">
      <c r="A31" s="6">
        <v>9</v>
      </c>
      <c r="B31" s="4" t="s">
        <v>284</v>
      </c>
      <c r="C31" s="8" t="s">
        <v>186</v>
      </c>
      <c r="D31" s="8"/>
      <c r="E31" s="3">
        <v>65</v>
      </c>
      <c r="F31" s="4">
        <v>100</v>
      </c>
      <c r="G31" s="4">
        <v>100</v>
      </c>
      <c r="H31" s="4">
        <v>400</v>
      </c>
      <c r="I31" s="4">
        <v>10</v>
      </c>
      <c r="J31" s="4">
        <v>15</v>
      </c>
      <c r="K31" s="2">
        <v>1.0000000000000001E-5</v>
      </c>
      <c r="L31" s="2">
        <v>4.0000000000000001E-8</v>
      </c>
      <c r="M31" s="2"/>
      <c r="N31">
        <v>48</v>
      </c>
      <c r="O31" s="9">
        <v>4890000</v>
      </c>
      <c r="P31" s="3">
        <v>2.78</v>
      </c>
      <c r="Q31" s="9">
        <v>1.0000000000000001E-9</v>
      </c>
      <c r="R31" s="36">
        <v>2.9999999999999997E-4</v>
      </c>
      <c r="S31" s="33">
        <v>0.06</v>
      </c>
      <c r="T31" s="33">
        <v>12.5</v>
      </c>
      <c r="U31" s="21"/>
      <c r="W31" s="21" t="s">
        <v>283</v>
      </c>
      <c r="X31" s="21" t="s">
        <v>289</v>
      </c>
    </row>
    <row r="32" spans="1:24" x14ac:dyDescent="0.25">
      <c r="A32" s="6">
        <v>10</v>
      </c>
      <c r="B32" s="4" t="s">
        <v>284</v>
      </c>
      <c r="C32" s="8" t="s">
        <v>186</v>
      </c>
      <c r="D32" s="8"/>
      <c r="E32" s="3">
        <v>65</v>
      </c>
      <c r="F32" s="4">
        <v>100</v>
      </c>
      <c r="G32" s="4">
        <v>100</v>
      </c>
      <c r="H32" s="4">
        <v>400</v>
      </c>
      <c r="I32" s="4">
        <v>10</v>
      </c>
      <c r="J32" s="4">
        <v>15</v>
      </c>
      <c r="K32" s="2">
        <v>1.0000000000000001E-5</v>
      </c>
      <c r="L32" s="2">
        <v>3.9999999999999998E-6</v>
      </c>
      <c r="M32" s="2"/>
      <c r="N32">
        <v>48</v>
      </c>
      <c r="O32" s="9">
        <v>4890000</v>
      </c>
      <c r="P32" s="3">
        <v>2.78</v>
      </c>
      <c r="Q32" s="9">
        <v>9.9999999999999994E-12</v>
      </c>
      <c r="R32" s="36">
        <v>2.9999999999999997E-4</v>
      </c>
      <c r="S32" s="33">
        <v>0.06</v>
      </c>
      <c r="T32" s="33">
        <v>35.119999999999997</v>
      </c>
      <c r="U32" s="21"/>
      <c r="W32" s="21" t="s">
        <v>300</v>
      </c>
      <c r="X32" s="21" t="s">
        <v>302</v>
      </c>
    </row>
    <row r="33" spans="1:24" x14ac:dyDescent="0.25">
      <c r="A33" s="6"/>
      <c r="B33" s="4"/>
      <c r="C33" s="4"/>
      <c r="D33" s="4"/>
      <c r="E33" s="6"/>
      <c r="F33" s="4"/>
      <c r="G33" s="4"/>
      <c r="H33" s="21"/>
      <c r="I33" s="22"/>
      <c r="J33" s="22"/>
      <c r="K33" s="22"/>
      <c r="L33" s="22"/>
      <c r="M33" s="22"/>
      <c r="N33" s="4"/>
      <c r="O33" s="25"/>
      <c r="P33" s="15"/>
      <c r="Q33" s="35"/>
      <c r="R33" s="15"/>
      <c r="S33" s="4"/>
      <c r="T33" s="4"/>
      <c r="U33" s="4"/>
      <c r="V33" s="25"/>
      <c r="W33" s="4"/>
      <c r="X33" s="21"/>
    </row>
    <row r="34" spans="1:24" x14ac:dyDescent="0.25">
      <c r="A34" s="16" t="s">
        <v>230</v>
      </c>
      <c r="B34" s="4"/>
      <c r="C34" s="4"/>
      <c r="D34" s="4"/>
      <c r="E34" s="6"/>
      <c r="F34" s="4"/>
      <c r="G34" s="4"/>
      <c r="H34" s="21"/>
      <c r="I34" s="21"/>
      <c r="J34" s="22"/>
      <c r="K34" s="22"/>
      <c r="L34" s="22"/>
      <c r="M34" s="22"/>
      <c r="N34" s="4"/>
      <c r="O34" s="25"/>
      <c r="P34" s="15"/>
      <c r="Q34" s="35"/>
      <c r="R34" s="15"/>
      <c r="S34" s="21"/>
      <c r="T34" s="21"/>
      <c r="U34" s="21"/>
      <c r="V34" s="21"/>
      <c r="W34" s="4"/>
      <c r="X34" s="21"/>
    </row>
    <row r="35" spans="1:24" x14ac:dyDescent="0.25">
      <c r="A35" s="16">
        <v>1</v>
      </c>
      <c r="B35" s="4">
        <v>5109</v>
      </c>
      <c r="C35" s="4"/>
      <c r="D35" s="4"/>
      <c r="E35" s="6"/>
      <c r="F35" s="4">
        <v>101</v>
      </c>
      <c r="G35" s="4">
        <v>601</v>
      </c>
      <c r="H35" s="21">
        <v>200</v>
      </c>
      <c r="I35" s="22" t="s">
        <v>6</v>
      </c>
      <c r="J35" s="22">
        <v>0.8</v>
      </c>
      <c r="K35" s="22"/>
      <c r="L35" s="22"/>
      <c r="M35" s="22"/>
      <c r="N35" s="4">
        <v>48</v>
      </c>
      <c r="O35" s="25">
        <v>4890000</v>
      </c>
      <c r="P35" s="15">
        <v>4.07</v>
      </c>
      <c r="Q35" s="35"/>
      <c r="R35" s="15"/>
      <c r="S35" s="21"/>
      <c r="T35" s="21"/>
      <c r="U35" s="21"/>
      <c r="V35" s="21"/>
      <c r="W35" s="4"/>
      <c r="X35" s="21" t="s">
        <v>147</v>
      </c>
    </row>
    <row r="36" spans="1:24" x14ac:dyDescent="0.25">
      <c r="A36" s="16"/>
      <c r="B36" s="4"/>
      <c r="C36" s="4"/>
      <c r="D36" s="4"/>
      <c r="E36" s="6"/>
      <c r="F36" s="4"/>
      <c r="G36" s="4"/>
      <c r="H36" s="21"/>
      <c r="I36" s="22"/>
      <c r="J36" s="22"/>
      <c r="K36" s="22"/>
      <c r="L36" s="22"/>
      <c r="M36" s="22"/>
      <c r="N36" s="4"/>
      <c r="O36" s="25"/>
      <c r="P36" s="15"/>
      <c r="Q36" s="35"/>
      <c r="R36" s="15"/>
      <c r="S36" s="21"/>
      <c r="T36" s="21"/>
      <c r="U36" s="21"/>
      <c r="V36" s="21"/>
      <c r="W36" s="4"/>
      <c r="X36" s="21"/>
    </row>
    <row r="37" spans="1:24" x14ac:dyDescent="0.25">
      <c r="A37" s="16" t="s">
        <v>309</v>
      </c>
      <c r="B37" s="4">
        <v>5643</v>
      </c>
      <c r="C37" s="4">
        <v>599</v>
      </c>
      <c r="D37" s="4"/>
      <c r="E37" s="6">
        <v>39</v>
      </c>
      <c r="F37" s="4">
        <v>100</v>
      </c>
      <c r="G37" s="4">
        <v>600</v>
      </c>
      <c r="H37" s="4">
        <v>200</v>
      </c>
      <c r="I37" s="22" t="s">
        <v>6</v>
      </c>
      <c r="J37" s="22">
        <v>0.8</v>
      </c>
      <c r="K37" s="22"/>
      <c r="L37" s="22"/>
      <c r="M37" s="22"/>
      <c r="N37" s="4">
        <v>48</v>
      </c>
      <c r="O37" s="25">
        <v>4890000</v>
      </c>
      <c r="P37" s="15">
        <v>2.78</v>
      </c>
      <c r="Q37" s="35"/>
      <c r="R37" s="15"/>
      <c r="S37" s="21">
        <v>0.5</v>
      </c>
      <c r="T37" s="21">
        <v>6.21</v>
      </c>
      <c r="U37" s="21"/>
      <c r="V37" s="21"/>
      <c r="W37" s="4" t="s">
        <v>202</v>
      </c>
      <c r="X37" s="21" t="s">
        <v>201</v>
      </c>
    </row>
    <row r="38" spans="1:24" x14ac:dyDescent="0.25">
      <c r="A38" s="16"/>
      <c r="B38" s="4"/>
      <c r="C38" s="4"/>
      <c r="D38" s="4"/>
      <c r="E38" s="6"/>
      <c r="F38" s="4"/>
      <c r="G38" s="4"/>
      <c r="H38" s="21"/>
      <c r="I38" s="22"/>
      <c r="J38" s="22"/>
      <c r="K38" s="22"/>
      <c r="L38" s="22"/>
      <c r="M38" s="22"/>
      <c r="N38" s="4"/>
      <c r="S38" s="21"/>
      <c r="T38" s="21"/>
      <c r="U38" s="21"/>
      <c r="V38" s="21"/>
      <c r="W38" s="4"/>
      <c r="X38" s="21"/>
    </row>
    <row r="39" spans="1:24" x14ac:dyDescent="0.25">
      <c r="A39" s="16" t="s">
        <v>310</v>
      </c>
      <c r="B39" s="4">
        <v>6315</v>
      </c>
      <c r="C39" s="4">
        <v>529</v>
      </c>
      <c r="D39" s="4"/>
      <c r="E39" s="6">
        <v>33</v>
      </c>
      <c r="F39" s="4">
        <v>100</v>
      </c>
      <c r="G39" s="4">
        <v>600</v>
      </c>
      <c r="H39" s="4">
        <v>200</v>
      </c>
      <c r="I39" s="22" t="s">
        <v>6</v>
      </c>
      <c r="J39" s="22">
        <v>0.8</v>
      </c>
      <c r="K39" s="22"/>
      <c r="L39" s="22"/>
      <c r="M39" s="22"/>
      <c r="N39" s="4">
        <v>48</v>
      </c>
      <c r="O39" s="25">
        <v>4890000</v>
      </c>
      <c r="P39" s="15">
        <v>2.78</v>
      </c>
      <c r="Q39" s="35"/>
      <c r="R39" s="15"/>
      <c r="S39" s="21">
        <v>0.5</v>
      </c>
      <c r="T39" s="21">
        <v>10.8</v>
      </c>
      <c r="U39" s="21"/>
      <c r="V39" s="21"/>
      <c r="W39" s="4" t="s">
        <v>202</v>
      </c>
      <c r="X39" s="21" t="s">
        <v>203</v>
      </c>
    </row>
    <row r="40" spans="1:24" x14ac:dyDescent="0.25">
      <c r="A40" s="6"/>
      <c r="B40" s="4"/>
      <c r="C40" s="4"/>
      <c r="D40" s="4"/>
      <c r="E40" s="6"/>
      <c r="F40" s="4"/>
      <c r="G40" s="4"/>
      <c r="H40" s="21"/>
      <c r="I40" s="21"/>
      <c r="J40" s="22"/>
      <c r="K40" s="22"/>
      <c r="L40" s="22"/>
      <c r="M40" s="22"/>
      <c r="N40" s="4"/>
      <c r="O40" s="25"/>
      <c r="P40" s="15"/>
      <c r="Q40" s="35"/>
      <c r="R40" s="15"/>
      <c r="S40" s="21"/>
      <c r="T40" s="21"/>
      <c r="U40" s="21"/>
      <c r="V40" s="21"/>
      <c r="W40" s="4"/>
      <c r="X40" s="4"/>
    </row>
    <row r="41" spans="1:24" x14ac:dyDescent="0.25">
      <c r="A41" s="16" t="s">
        <v>187</v>
      </c>
      <c r="B41" s="4"/>
      <c r="C41" s="4"/>
      <c r="D41" s="4"/>
      <c r="E41" s="6"/>
      <c r="F41" s="4"/>
      <c r="G41" s="4"/>
      <c r="H41" s="4"/>
      <c r="I41" s="21"/>
      <c r="J41" s="22"/>
      <c r="K41" s="22"/>
      <c r="L41" s="22"/>
      <c r="M41" s="22"/>
      <c r="N41" s="4"/>
      <c r="O41" s="25"/>
      <c r="P41" s="15"/>
      <c r="Q41" s="35"/>
      <c r="R41" s="15"/>
      <c r="S41" s="21"/>
      <c r="T41" s="21"/>
      <c r="U41" s="21"/>
      <c r="V41" s="25"/>
      <c r="W41" s="4"/>
      <c r="X41" s="4"/>
    </row>
    <row r="42" spans="1:24" x14ac:dyDescent="0.25">
      <c r="A42" s="6">
        <v>1</v>
      </c>
      <c r="B42" s="4">
        <v>3065</v>
      </c>
      <c r="C42" s="4" t="s">
        <v>186</v>
      </c>
      <c r="D42" s="4"/>
      <c r="E42" s="6">
        <v>65</v>
      </c>
      <c r="F42" s="4">
        <v>100</v>
      </c>
      <c r="G42" s="4">
        <v>600</v>
      </c>
      <c r="H42" s="4">
        <v>20</v>
      </c>
      <c r="I42" s="22" t="s">
        <v>6</v>
      </c>
      <c r="J42" s="22">
        <v>0.8</v>
      </c>
      <c r="K42" s="22"/>
      <c r="L42" s="22"/>
      <c r="M42" s="22"/>
      <c r="N42" s="4">
        <v>48</v>
      </c>
      <c r="O42" s="25">
        <v>4890000</v>
      </c>
      <c r="P42" s="15">
        <v>2.78</v>
      </c>
      <c r="Q42" s="35"/>
      <c r="R42" s="15"/>
      <c r="S42" s="21"/>
      <c r="T42" s="21"/>
      <c r="U42" s="21"/>
      <c r="V42" s="25"/>
      <c r="W42" s="4"/>
      <c r="X42" s="4" t="s">
        <v>188</v>
      </c>
    </row>
    <row r="43" spans="1:24" x14ac:dyDescent="0.25">
      <c r="A43" s="6">
        <v>2</v>
      </c>
      <c r="B43" s="4">
        <v>3065</v>
      </c>
      <c r="C43" s="4" t="s">
        <v>186</v>
      </c>
      <c r="D43" s="4"/>
      <c r="E43" s="6">
        <v>65</v>
      </c>
      <c r="F43" s="4">
        <v>100</v>
      </c>
      <c r="G43" s="4">
        <v>600</v>
      </c>
      <c r="H43" s="4">
        <v>60</v>
      </c>
      <c r="I43" s="22" t="s">
        <v>6</v>
      </c>
      <c r="J43" s="22">
        <v>0.8</v>
      </c>
      <c r="K43" s="22"/>
      <c r="L43" s="22"/>
      <c r="M43" s="22"/>
      <c r="N43" s="4">
        <v>48</v>
      </c>
      <c r="O43" s="25">
        <v>4890000</v>
      </c>
      <c r="P43" s="15">
        <v>2.78</v>
      </c>
      <c r="Q43" s="35"/>
      <c r="R43" s="15"/>
      <c r="S43" s="21"/>
      <c r="T43" s="21"/>
      <c r="U43" s="21"/>
      <c r="V43" s="25"/>
      <c r="W43" s="4"/>
      <c r="X43" s="4"/>
    </row>
    <row r="44" spans="1:24" x14ac:dyDescent="0.25">
      <c r="A44" s="6">
        <v>3</v>
      </c>
      <c r="B44" s="4">
        <v>3065</v>
      </c>
      <c r="C44" s="4" t="s">
        <v>186</v>
      </c>
      <c r="D44" s="4"/>
      <c r="E44" s="6">
        <v>65</v>
      </c>
      <c r="F44" s="4">
        <v>100</v>
      </c>
      <c r="G44" s="4">
        <v>600</v>
      </c>
      <c r="H44" s="4">
        <v>100</v>
      </c>
      <c r="I44" s="22" t="s">
        <v>6</v>
      </c>
      <c r="J44" s="22">
        <v>0.8</v>
      </c>
      <c r="K44" s="22"/>
      <c r="L44" s="22"/>
      <c r="M44" s="22"/>
      <c r="N44" s="4">
        <v>48</v>
      </c>
      <c r="O44" s="25">
        <v>4890000</v>
      </c>
      <c r="P44" s="15">
        <v>2.78</v>
      </c>
      <c r="Q44" s="35"/>
      <c r="R44" s="15"/>
      <c r="S44" s="21">
        <v>2.4500000000000002</v>
      </c>
      <c r="T44" s="21">
        <v>4.91</v>
      </c>
      <c r="U44" s="21"/>
      <c r="V44" s="25"/>
      <c r="W44" s="4"/>
      <c r="X44" s="4"/>
    </row>
    <row r="45" spans="1:24" x14ac:dyDescent="0.25">
      <c r="A45" s="6" t="s">
        <v>185</v>
      </c>
      <c r="B45" s="4"/>
      <c r="C45" s="4"/>
      <c r="D45" s="4"/>
      <c r="E45" s="6"/>
      <c r="F45" s="4"/>
      <c r="G45" s="4"/>
      <c r="H45" s="21"/>
      <c r="I45" s="21"/>
      <c r="J45" s="22"/>
      <c r="K45" s="22"/>
      <c r="L45" s="22"/>
      <c r="M45" s="22"/>
      <c r="N45" s="4"/>
      <c r="O45" s="25"/>
      <c r="P45" s="15"/>
      <c r="Q45" s="35"/>
      <c r="R45" s="15"/>
      <c r="S45" s="21"/>
      <c r="T45" s="21"/>
      <c r="U45" s="21"/>
      <c r="V45" s="25"/>
      <c r="W45" s="21"/>
      <c r="X45" s="21"/>
    </row>
    <row r="46" spans="1:24" x14ac:dyDescent="0.25">
      <c r="A46" s="6">
        <v>5</v>
      </c>
      <c r="B46" s="4">
        <v>3065</v>
      </c>
      <c r="C46" s="4" t="s">
        <v>186</v>
      </c>
      <c r="D46" s="4"/>
      <c r="E46" s="6">
        <v>65</v>
      </c>
      <c r="F46" s="4">
        <v>100</v>
      </c>
      <c r="G46" s="4">
        <v>600</v>
      </c>
      <c r="H46" s="4">
        <v>400</v>
      </c>
      <c r="I46" s="21">
        <v>10</v>
      </c>
      <c r="J46" s="22">
        <v>15</v>
      </c>
      <c r="K46" s="22"/>
      <c r="L46" s="22"/>
      <c r="M46" s="22"/>
      <c r="N46" s="4">
        <v>48</v>
      </c>
      <c r="O46" s="25">
        <v>4890000</v>
      </c>
      <c r="P46" s="15">
        <v>2.78</v>
      </c>
      <c r="Q46" s="35"/>
      <c r="R46" s="15"/>
      <c r="S46" s="21">
        <v>0.13</v>
      </c>
      <c r="T46" s="21">
        <v>3.92</v>
      </c>
      <c r="U46" s="4">
        <v>2245</v>
      </c>
      <c r="V46" s="25"/>
      <c r="W46" s="21" t="s">
        <v>189</v>
      </c>
      <c r="X46" s="21" t="s">
        <v>190</v>
      </c>
    </row>
    <row r="47" spans="1:24" x14ac:dyDescent="0.25">
      <c r="A47" s="6">
        <v>4</v>
      </c>
      <c r="B47" s="4">
        <v>3065</v>
      </c>
      <c r="C47" s="4" t="s">
        <v>186</v>
      </c>
      <c r="D47" s="4"/>
      <c r="E47" s="6">
        <v>65</v>
      </c>
      <c r="F47" s="4">
        <v>100</v>
      </c>
      <c r="G47" s="4">
        <v>600</v>
      </c>
      <c r="H47" s="4">
        <v>100</v>
      </c>
      <c r="I47" s="21">
        <v>10</v>
      </c>
      <c r="J47" s="22">
        <v>1</v>
      </c>
      <c r="K47" s="22"/>
      <c r="L47" s="22"/>
      <c r="M47" s="22"/>
      <c r="N47" s="4">
        <v>48</v>
      </c>
      <c r="O47" s="25">
        <v>4890000</v>
      </c>
      <c r="P47" s="15">
        <v>2.78</v>
      </c>
      <c r="Q47" s="35"/>
      <c r="R47" s="15"/>
      <c r="S47" s="21">
        <v>2.41</v>
      </c>
      <c r="T47" s="21">
        <v>3.73</v>
      </c>
      <c r="U47" s="4">
        <v>877</v>
      </c>
      <c r="V47" s="25"/>
      <c r="W47" s="21" t="s">
        <v>191</v>
      </c>
      <c r="X47" s="21" t="s">
        <v>192</v>
      </c>
    </row>
    <row r="48" spans="1:24" x14ac:dyDescent="0.25">
      <c r="A48" s="6">
        <v>6</v>
      </c>
      <c r="B48" s="4">
        <v>3065</v>
      </c>
      <c r="C48" s="4" t="s">
        <v>186</v>
      </c>
      <c r="D48" s="4"/>
      <c r="E48" s="6">
        <v>65</v>
      </c>
      <c r="F48" s="4">
        <v>100</v>
      </c>
      <c r="G48" s="4">
        <v>600</v>
      </c>
      <c r="H48" s="4">
        <v>50</v>
      </c>
      <c r="I48" s="21">
        <v>10</v>
      </c>
      <c r="J48" s="22">
        <v>1</v>
      </c>
      <c r="K48" s="22"/>
      <c r="L48" s="22"/>
      <c r="M48" s="22"/>
      <c r="N48" s="4">
        <v>48</v>
      </c>
      <c r="O48" s="25">
        <v>4890000</v>
      </c>
      <c r="P48" s="15">
        <v>2.78</v>
      </c>
      <c r="Q48" s="35"/>
      <c r="R48" s="15"/>
      <c r="S48" s="21">
        <v>47.82</v>
      </c>
      <c r="T48" s="21">
        <v>3.36</v>
      </c>
      <c r="U48" s="4">
        <v>689</v>
      </c>
      <c r="V48" s="25"/>
      <c r="W48" s="21" t="s">
        <v>197</v>
      </c>
      <c r="X48" s="21" t="s">
        <v>194</v>
      </c>
    </row>
    <row r="49" spans="1:24" x14ac:dyDescent="0.25">
      <c r="A49" s="6">
        <v>7</v>
      </c>
      <c r="B49" s="4">
        <v>3065</v>
      </c>
      <c r="C49" s="4" t="s">
        <v>186</v>
      </c>
      <c r="D49" s="4"/>
      <c r="E49" s="6">
        <v>100</v>
      </c>
      <c r="F49" s="4">
        <v>100</v>
      </c>
      <c r="G49" s="4">
        <v>600</v>
      </c>
      <c r="H49" s="4">
        <v>400</v>
      </c>
      <c r="I49" s="21">
        <v>10</v>
      </c>
      <c r="J49" s="22">
        <v>15</v>
      </c>
      <c r="K49" s="22"/>
      <c r="L49" s="22"/>
      <c r="M49" s="22"/>
      <c r="N49" s="4">
        <v>48</v>
      </c>
      <c r="O49" s="25">
        <v>4890000</v>
      </c>
      <c r="P49" s="15">
        <v>2.78</v>
      </c>
      <c r="Q49" s="35"/>
      <c r="R49" s="15"/>
      <c r="S49" s="21">
        <v>0.2</v>
      </c>
      <c r="T49" s="21">
        <v>4.9000000000000004</v>
      </c>
      <c r="U49" s="4">
        <v>1985</v>
      </c>
      <c r="V49" s="25"/>
      <c r="W49" s="21" t="s">
        <v>199</v>
      </c>
      <c r="X49" s="21" t="s">
        <v>198</v>
      </c>
    </row>
    <row r="50" spans="1:24" x14ac:dyDescent="0.25">
      <c r="A50" s="6">
        <v>8</v>
      </c>
      <c r="B50" s="4">
        <v>3065</v>
      </c>
      <c r="C50" s="4" t="s">
        <v>186</v>
      </c>
      <c r="D50" s="4"/>
      <c r="E50" s="6">
        <v>200</v>
      </c>
      <c r="F50" s="4">
        <v>100</v>
      </c>
      <c r="G50" s="4">
        <v>600</v>
      </c>
      <c r="H50" s="4">
        <v>400</v>
      </c>
      <c r="I50" s="21">
        <v>10</v>
      </c>
      <c r="J50" s="22">
        <v>15</v>
      </c>
      <c r="K50" s="22"/>
      <c r="L50" s="22"/>
      <c r="M50" s="22"/>
      <c r="N50" s="4">
        <v>48</v>
      </c>
      <c r="O50" s="25">
        <v>4890000</v>
      </c>
      <c r="P50" s="15">
        <v>2.78</v>
      </c>
      <c r="Q50" s="35"/>
      <c r="R50" s="15"/>
      <c r="S50" s="21">
        <v>1.07</v>
      </c>
      <c r="T50" s="21">
        <v>6.41</v>
      </c>
      <c r="U50" s="4">
        <v>1004</v>
      </c>
      <c r="V50" s="25"/>
      <c r="W50" s="21" t="s">
        <v>204</v>
      </c>
      <c r="X50" s="21" t="s">
        <v>200</v>
      </c>
    </row>
    <row r="51" spans="1:24" x14ac:dyDescent="0.25">
      <c r="A51" s="6"/>
      <c r="B51" s="4"/>
      <c r="C51" s="4"/>
      <c r="D51" s="4"/>
      <c r="E51" s="6"/>
      <c r="F51" s="4"/>
      <c r="G51" s="4"/>
      <c r="H51" s="4"/>
      <c r="I51" s="21"/>
      <c r="J51" s="22"/>
      <c r="K51" s="22"/>
      <c r="L51" s="22"/>
      <c r="M51" s="22"/>
      <c r="N51" s="4"/>
      <c r="O51" s="25"/>
      <c r="P51" s="15"/>
      <c r="Q51" s="35"/>
      <c r="R51" s="15"/>
      <c r="S51" s="21"/>
      <c r="T51" s="21"/>
      <c r="U51" s="4"/>
      <c r="V51" s="25"/>
      <c r="W51" s="21"/>
      <c r="X51" s="21"/>
    </row>
    <row r="52" spans="1:24" x14ac:dyDescent="0.25">
      <c r="A52" s="16" t="s">
        <v>205</v>
      </c>
      <c r="B52" s="4"/>
      <c r="C52" s="4"/>
      <c r="D52" s="4"/>
      <c r="E52" s="6"/>
      <c r="F52" s="4"/>
      <c r="G52" s="4"/>
      <c r="H52" s="21"/>
      <c r="I52" s="21"/>
      <c r="J52" s="22"/>
      <c r="K52" s="22"/>
      <c r="L52" s="22"/>
      <c r="M52" s="22"/>
      <c r="N52" s="4"/>
      <c r="O52" s="25"/>
      <c r="P52" s="15"/>
      <c r="Q52" s="35"/>
      <c r="R52" s="15"/>
      <c r="S52" s="21"/>
      <c r="T52" s="21"/>
      <c r="U52" s="21"/>
      <c r="V52" s="21"/>
      <c r="W52" s="21"/>
      <c r="X52" s="21"/>
    </row>
    <row r="53" spans="1:24" x14ac:dyDescent="0.25">
      <c r="A53" s="16">
        <v>1</v>
      </c>
      <c r="B53" s="4">
        <v>3065</v>
      </c>
      <c r="C53" s="4" t="s">
        <v>186</v>
      </c>
      <c r="D53" s="4"/>
      <c r="E53" s="6">
        <v>65</v>
      </c>
      <c r="F53" s="4">
        <v>300</v>
      </c>
      <c r="G53" s="4">
        <v>100</v>
      </c>
      <c r="H53" s="4">
        <v>100</v>
      </c>
      <c r="I53" s="21">
        <v>10</v>
      </c>
      <c r="J53" s="22">
        <v>1</v>
      </c>
      <c r="K53" s="22"/>
      <c r="L53" s="22"/>
      <c r="M53" s="22"/>
      <c r="N53" s="4">
        <v>48</v>
      </c>
      <c r="O53" s="25">
        <v>4890000</v>
      </c>
      <c r="P53" s="15">
        <v>2.78</v>
      </c>
      <c r="Q53" s="35"/>
      <c r="R53" s="15"/>
      <c r="S53" s="21">
        <v>2.4900000000000002</v>
      </c>
      <c r="T53" s="21">
        <v>3.18</v>
      </c>
      <c r="U53" s="4">
        <v>876</v>
      </c>
      <c r="V53" s="21"/>
      <c r="W53" s="21" t="s">
        <v>206</v>
      </c>
      <c r="X53" s="21" t="s">
        <v>212</v>
      </c>
    </row>
    <row r="54" spans="1:24" x14ac:dyDescent="0.25">
      <c r="A54" s="6">
        <v>2</v>
      </c>
      <c r="B54" s="4">
        <v>3065</v>
      </c>
      <c r="C54" s="4" t="s">
        <v>186</v>
      </c>
      <c r="D54" s="4"/>
      <c r="E54" s="6">
        <v>65</v>
      </c>
      <c r="F54" s="4">
        <v>300</v>
      </c>
      <c r="G54" s="4">
        <v>100</v>
      </c>
      <c r="H54" s="4">
        <v>400</v>
      </c>
      <c r="I54" s="21">
        <v>10</v>
      </c>
      <c r="J54" s="22">
        <v>15</v>
      </c>
      <c r="K54" s="22"/>
      <c r="L54" s="22"/>
      <c r="M54" s="22"/>
      <c r="N54" s="4">
        <v>48</v>
      </c>
      <c r="O54" s="25">
        <v>4890000</v>
      </c>
      <c r="P54" s="15">
        <v>2.78</v>
      </c>
      <c r="Q54" s="35"/>
      <c r="R54" s="15"/>
      <c r="S54" s="21">
        <v>0.13</v>
      </c>
      <c r="T54" s="21">
        <v>3.83</v>
      </c>
      <c r="U54" s="4">
        <v>2274</v>
      </c>
      <c r="V54" s="25"/>
      <c r="W54" s="21" t="s">
        <v>208</v>
      </c>
      <c r="X54" s="21" t="s">
        <v>213</v>
      </c>
    </row>
    <row r="55" spans="1:24" x14ac:dyDescent="0.25">
      <c r="A55" s="6">
        <v>3</v>
      </c>
      <c r="B55" s="4">
        <v>3065</v>
      </c>
      <c r="C55" s="4" t="s">
        <v>186</v>
      </c>
      <c r="D55" s="4"/>
      <c r="E55" s="6">
        <v>65</v>
      </c>
      <c r="F55" s="4">
        <v>100</v>
      </c>
      <c r="G55" s="4">
        <v>300</v>
      </c>
      <c r="H55" s="4">
        <v>400</v>
      </c>
      <c r="I55" s="21">
        <v>10</v>
      </c>
      <c r="J55" s="22">
        <v>15</v>
      </c>
      <c r="K55" s="22"/>
      <c r="L55" s="22"/>
      <c r="M55" s="22"/>
      <c r="N55" s="4">
        <v>48</v>
      </c>
      <c r="O55" s="25">
        <v>4890000</v>
      </c>
      <c r="P55" s="15">
        <v>2.78</v>
      </c>
      <c r="Q55" s="35"/>
      <c r="R55" s="15"/>
      <c r="S55" s="21">
        <v>0.13</v>
      </c>
      <c r="T55" s="21">
        <v>3.88</v>
      </c>
      <c r="U55" s="4">
        <v>2248</v>
      </c>
      <c r="V55" s="25"/>
      <c r="W55" s="21" t="s">
        <v>209</v>
      </c>
      <c r="X55" s="21" t="s">
        <v>207</v>
      </c>
    </row>
    <row r="56" spans="1:24" x14ac:dyDescent="0.25">
      <c r="A56" s="6">
        <v>4</v>
      </c>
      <c r="B56" s="4">
        <v>3065</v>
      </c>
      <c r="C56" s="4" t="s">
        <v>186</v>
      </c>
      <c r="D56" s="4"/>
      <c r="E56" s="6">
        <v>65</v>
      </c>
      <c r="F56" s="4">
        <v>300</v>
      </c>
      <c r="G56" s="4">
        <v>100</v>
      </c>
      <c r="H56" s="4">
        <v>50</v>
      </c>
      <c r="I56" s="21">
        <v>10</v>
      </c>
      <c r="J56" s="22">
        <v>1</v>
      </c>
      <c r="K56" s="22"/>
      <c r="L56" s="22"/>
      <c r="M56" s="22"/>
      <c r="N56" s="4">
        <v>48</v>
      </c>
      <c r="O56" s="25">
        <v>4890000</v>
      </c>
      <c r="P56" s="15">
        <v>2.78</v>
      </c>
      <c r="Q56" s="35"/>
      <c r="R56" s="15"/>
      <c r="S56" s="21">
        <v>9.86</v>
      </c>
      <c r="T56" s="21">
        <v>3.3</v>
      </c>
      <c r="U56" s="4">
        <v>852</v>
      </c>
      <c r="V56" s="25"/>
      <c r="W56" s="21" t="s">
        <v>210</v>
      </c>
      <c r="X56" s="21" t="s">
        <v>211</v>
      </c>
    </row>
    <row r="57" spans="1:24" x14ac:dyDescent="0.25">
      <c r="A57" s="6">
        <v>5</v>
      </c>
      <c r="B57" s="4">
        <v>3065</v>
      </c>
      <c r="C57" s="4" t="s">
        <v>186</v>
      </c>
      <c r="D57" s="4"/>
      <c r="E57" s="6">
        <v>65</v>
      </c>
      <c r="F57" s="4">
        <v>300</v>
      </c>
      <c r="G57" s="4">
        <v>300</v>
      </c>
      <c r="H57" s="4">
        <v>400</v>
      </c>
      <c r="I57" s="21">
        <v>10</v>
      </c>
      <c r="J57" s="22">
        <v>1</v>
      </c>
      <c r="K57" s="22"/>
      <c r="L57" s="22"/>
      <c r="M57" s="22"/>
      <c r="N57" s="4">
        <v>48</v>
      </c>
      <c r="O57" s="25">
        <v>4890000</v>
      </c>
      <c r="P57" s="15">
        <v>2.78</v>
      </c>
      <c r="Q57" s="35"/>
      <c r="R57" s="15"/>
      <c r="S57" s="21">
        <v>0.25</v>
      </c>
      <c r="T57" s="21">
        <v>3.82</v>
      </c>
      <c r="U57" s="21"/>
      <c r="V57" s="25"/>
      <c r="W57" s="21" t="s">
        <v>214</v>
      </c>
      <c r="X57" s="21" t="s">
        <v>215</v>
      </c>
    </row>
    <row r="58" spans="1:24" x14ac:dyDescent="0.25">
      <c r="A58" s="6"/>
      <c r="B58" s="4"/>
      <c r="C58" s="4"/>
      <c r="D58" s="4"/>
      <c r="E58" s="6"/>
      <c r="F58" s="4"/>
      <c r="G58" s="4"/>
      <c r="H58" s="21"/>
      <c r="I58" s="21"/>
      <c r="J58" s="22"/>
      <c r="K58" s="22"/>
      <c r="L58" s="22"/>
      <c r="M58" s="22"/>
      <c r="N58" s="4"/>
      <c r="O58" s="25"/>
      <c r="P58" s="15"/>
      <c r="Q58" s="35"/>
      <c r="R58" s="15"/>
      <c r="S58" s="21"/>
      <c r="T58" s="21"/>
      <c r="U58" s="21"/>
      <c r="V58" s="25"/>
      <c r="W58" s="21"/>
      <c r="X58" s="21"/>
    </row>
    <row r="59" spans="1:24" x14ac:dyDescent="0.25">
      <c r="A59" s="16" t="s">
        <v>232</v>
      </c>
      <c r="B59" s="4"/>
      <c r="C59" s="4"/>
      <c r="D59" s="4"/>
      <c r="E59" s="6"/>
      <c r="F59" s="4"/>
      <c r="G59" s="4"/>
      <c r="H59" s="21"/>
      <c r="I59" s="21"/>
      <c r="J59" s="22"/>
      <c r="K59" s="22"/>
      <c r="L59" s="22"/>
      <c r="M59" s="22"/>
      <c r="N59" s="4"/>
      <c r="O59" s="25"/>
      <c r="P59" s="15"/>
      <c r="Q59" s="35"/>
      <c r="R59" s="15"/>
      <c r="S59" s="21"/>
      <c r="T59" s="21"/>
      <c r="U59" s="21"/>
      <c r="V59" s="25"/>
      <c r="W59" s="21"/>
      <c r="X59" s="21"/>
    </row>
    <row r="60" spans="1:24" x14ac:dyDescent="0.25">
      <c r="A60" s="16">
        <v>1</v>
      </c>
      <c r="B60" s="4">
        <v>2702</v>
      </c>
      <c r="C60" s="4">
        <v>903</v>
      </c>
      <c r="D60" s="4"/>
      <c r="E60" s="6">
        <v>237</v>
      </c>
      <c r="F60" s="4">
        <v>300</v>
      </c>
      <c r="G60" s="4">
        <v>100</v>
      </c>
      <c r="H60" s="4">
        <v>200</v>
      </c>
      <c r="I60" s="22">
        <v>10</v>
      </c>
      <c r="J60" s="22">
        <v>1</v>
      </c>
      <c r="K60" s="22"/>
      <c r="L60" s="22"/>
      <c r="M60" s="22"/>
      <c r="N60" s="4">
        <v>48</v>
      </c>
      <c r="O60" s="25">
        <v>4890000</v>
      </c>
      <c r="P60" s="15">
        <v>2.78</v>
      </c>
      <c r="Q60" s="35"/>
      <c r="R60" s="15"/>
      <c r="S60" s="21">
        <v>86.65</v>
      </c>
      <c r="T60" s="21">
        <v>0.38</v>
      </c>
      <c r="U60" s="21"/>
      <c r="V60" s="21"/>
      <c r="W60" s="4"/>
      <c r="X60" s="4" t="s">
        <v>231</v>
      </c>
    </row>
    <row r="61" spans="1:24" x14ac:dyDescent="0.25">
      <c r="A61" s="6">
        <v>2</v>
      </c>
      <c r="B61" s="4">
        <v>2702</v>
      </c>
      <c r="C61" s="4">
        <v>903</v>
      </c>
      <c r="D61" s="4"/>
      <c r="E61" s="6">
        <v>237</v>
      </c>
      <c r="F61" s="4">
        <v>100</v>
      </c>
      <c r="G61" s="4">
        <v>300</v>
      </c>
      <c r="H61" s="4">
        <v>200</v>
      </c>
      <c r="I61" s="22">
        <v>10</v>
      </c>
      <c r="J61" s="22">
        <v>1</v>
      </c>
      <c r="K61" s="22"/>
      <c r="L61" s="22"/>
      <c r="M61" s="22"/>
      <c r="N61" s="4">
        <v>48</v>
      </c>
      <c r="O61" s="25">
        <v>4890000</v>
      </c>
      <c r="P61" s="15">
        <v>2.78</v>
      </c>
      <c r="Q61" s="35"/>
      <c r="R61" s="15"/>
      <c r="S61" s="21">
        <v>38.700000000000003</v>
      </c>
      <c r="T61" s="21">
        <v>2.38</v>
      </c>
      <c r="U61" s="21"/>
      <c r="V61" s="25"/>
      <c r="W61" s="21"/>
      <c r="X61" s="4" t="s">
        <v>233</v>
      </c>
    </row>
    <row r="62" spans="1:24" x14ac:dyDescent="0.25">
      <c r="A62" s="6"/>
      <c r="B62" s="4"/>
      <c r="C62" s="4"/>
      <c r="D62" s="4"/>
      <c r="E62" s="6"/>
      <c r="F62" s="4"/>
      <c r="G62" s="4"/>
      <c r="H62" s="21"/>
      <c r="I62" s="21"/>
      <c r="J62" s="22"/>
      <c r="K62" s="22"/>
      <c r="L62" s="22"/>
      <c r="M62" s="22"/>
      <c r="N62" s="4"/>
      <c r="O62" s="25"/>
      <c r="P62" s="15"/>
      <c r="Q62" s="35"/>
      <c r="R62" s="15"/>
      <c r="S62" s="21"/>
      <c r="T62" s="21"/>
      <c r="U62" s="21"/>
      <c r="V62" s="21"/>
      <c r="W62" s="21"/>
      <c r="X62" s="21"/>
    </row>
    <row r="63" spans="1:24" x14ac:dyDescent="0.25">
      <c r="A63" s="16" t="s">
        <v>234</v>
      </c>
      <c r="B63" s="4"/>
      <c r="C63" s="4"/>
      <c r="D63" s="4"/>
      <c r="E63" s="6"/>
      <c r="F63" s="4"/>
      <c r="G63" s="4"/>
      <c r="H63" s="21"/>
      <c r="I63" s="21"/>
      <c r="J63" s="22"/>
      <c r="K63" s="22"/>
      <c r="L63" s="22"/>
      <c r="M63" s="22"/>
      <c r="N63" s="4"/>
      <c r="O63" s="25"/>
      <c r="P63" s="15"/>
      <c r="Q63" s="35"/>
      <c r="R63" s="15"/>
      <c r="S63" s="21"/>
      <c r="T63" s="21"/>
      <c r="U63" s="21"/>
      <c r="V63" s="21"/>
      <c r="W63" s="21"/>
      <c r="X63" s="21"/>
    </row>
    <row r="64" spans="1:24" x14ac:dyDescent="0.25">
      <c r="A64" s="6">
        <v>1</v>
      </c>
      <c r="B64" s="4">
        <v>3065</v>
      </c>
      <c r="C64" s="4">
        <v>625</v>
      </c>
      <c r="D64" s="4"/>
      <c r="E64" s="6">
        <v>65</v>
      </c>
      <c r="F64" s="4">
        <v>300</v>
      </c>
      <c r="G64" s="4">
        <v>100</v>
      </c>
      <c r="H64" s="4">
        <v>200</v>
      </c>
      <c r="I64" s="4">
        <v>10</v>
      </c>
      <c r="J64" s="22">
        <v>1</v>
      </c>
      <c r="K64" s="22"/>
      <c r="L64" s="22"/>
      <c r="M64" s="22"/>
      <c r="N64" s="4">
        <v>48</v>
      </c>
      <c r="O64" s="25">
        <v>4890000</v>
      </c>
      <c r="P64" s="15">
        <v>2.78</v>
      </c>
      <c r="Q64" s="35"/>
      <c r="R64" s="15"/>
      <c r="S64" s="21"/>
      <c r="T64" s="21"/>
      <c r="U64" s="21"/>
      <c r="V64" s="25"/>
      <c r="W64" s="21"/>
      <c r="X64" s="21" t="s">
        <v>235</v>
      </c>
    </row>
    <row r="65" spans="1:24" x14ac:dyDescent="0.25">
      <c r="A65" s="6">
        <v>2</v>
      </c>
      <c r="B65" s="4">
        <v>3065</v>
      </c>
      <c r="C65" s="4">
        <v>625</v>
      </c>
      <c r="D65" s="4"/>
      <c r="E65" s="6">
        <v>65</v>
      </c>
      <c r="F65" s="4">
        <v>300</v>
      </c>
      <c r="G65" s="4">
        <v>100</v>
      </c>
      <c r="H65" s="4">
        <v>200</v>
      </c>
      <c r="I65" s="4">
        <v>10</v>
      </c>
      <c r="J65" s="22">
        <v>1</v>
      </c>
      <c r="K65" s="22"/>
      <c r="L65" s="22"/>
      <c r="M65" s="22"/>
      <c r="N65" s="4">
        <v>48</v>
      </c>
      <c r="O65" s="25">
        <v>4890000</v>
      </c>
      <c r="P65" s="15">
        <v>2.78</v>
      </c>
      <c r="Q65" s="35"/>
      <c r="R65" s="15"/>
      <c r="S65" s="21"/>
      <c r="T65" s="21"/>
      <c r="U65" s="21"/>
      <c r="V65" s="21"/>
      <c r="W65" s="21"/>
      <c r="X65" s="21" t="s">
        <v>236</v>
      </c>
    </row>
    <row r="66" spans="1:24" x14ac:dyDescent="0.25">
      <c r="A66" s="16">
        <v>3</v>
      </c>
      <c r="B66" s="4">
        <v>3065</v>
      </c>
      <c r="C66" s="4">
        <v>625</v>
      </c>
      <c r="D66" s="4"/>
      <c r="E66" s="6">
        <v>65</v>
      </c>
      <c r="F66" s="4">
        <v>300</v>
      </c>
      <c r="G66" s="4">
        <v>100</v>
      </c>
      <c r="H66" s="4">
        <v>200</v>
      </c>
      <c r="I66" s="4">
        <v>10</v>
      </c>
      <c r="J66" s="22">
        <v>1</v>
      </c>
      <c r="K66" s="22"/>
      <c r="L66" s="22"/>
      <c r="M66" s="22"/>
      <c r="N66" s="4">
        <v>48</v>
      </c>
      <c r="O66" s="25">
        <v>4890000</v>
      </c>
      <c r="P66" s="15">
        <v>2.78</v>
      </c>
      <c r="Q66" s="35"/>
      <c r="R66" s="15"/>
      <c r="S66" s="21"/>
      <c r="T66" s="21"/>
      <c r="U66" s="21"/>
      <c r="V66" s="21"/>
      <c r="W66" s="21"/>
      <c r="X66" s="21" t="s">
        <v>237</v>
      </c>
    </row>
    <row r="67" spans="1:24" x14ac:dyDescent="0.25">
      <c r="A67" s="6">
        <v>4</v>
      </c>
      <c r="B67" s="4">
        <v>3065</v>
      </c>
      <c r="C67" s="4">
        <v>625</v>
      </c>
      <c r="D67" s="4"/>
      <c r="E67" s="6">
        <v>65</v>
      </c>
      <c r="F67" s="4">
        <v>300</v>
      </c>
      <c r="G67" s="4">
        <v>100</v>
      </c>
      <c r="H67" s="4">
        <v>2000</v>
      </c>
      <c r="I67" s="4">
        <v>10</v>
      </c>
      <c r="J67" s="22">
        <v>1</v>
      </c>
      <c r="K67" s="22"/>
      <c r="L67" s="22"/>
      <c r="M67" s="22"/>
      <c r="N67" s="4">
        <v>48</v>
      </c>
      <c r="O67" s="25">
        <v>4890000</v>
      </c>
      <c r="P67" s="15">
        <v>2.78</v>
      </c>
      <c r="Q67" s="35"/>
      <c r="R67" s="15"/>
      <c r="S67" s="4"/>
      <c r="T67" s="4"/>
      <c r="U67" s="4"/>
      <c r="V67" s="21"/>
      <c r="W67" s="21"/>
      <c r="X67" s="21" t="s">
        <v>238</v>
      </c>
    </row>
    <row r="68" spans="1:24" x14ac:dyDescent="0.25">
      <c r="A68" s="6">
        <v>5</v>
      </c>
      <c r="B68" s="4">
        <v>3065</v>
      </c>
      <c r="C68" s="4" t="s">
        <v>186</v>
      </c>
      <c r="D68" s="4"/>
      <c r="E68" s="3" t="s">
        <v>249</v>
      </c>
      <c r="F68" s="4">
        <v>300</v>
      </c>
      <c r="G68" s="4">
        <v>100</v>
      </c>
      <c r="H68" s="4">
        <v>200</v>
      </c>
      <c r="I68" s="4">
        <v>10</v>
      </c>
      <c r="J68" s="22">
        <v>1</v>
      </c>
      <c r="K68" s="30"/>
      <c r="L68" s="30"/>
      <c r="M68" s="30"/>
      <c r="N68" s="4">
        <v>48</v>
      </c>
      <c r="O68" s="25">
        <v>4890000</v>
      </c>
      <c r="P68" s="15">
        <v>2.78</v>
      </c>
      <c r="Q68" s="35"/>
      <c r="R68" s="15"/>
      <c r="S68" s="4"/>
      <c r="T68" s="4"/>
      <c r="U68" s="4"/>
      <c r="V68" s="21"/>
      <c r="W68" s="21"/>
      <c r="X68" s="21" t="s">
        <v>251</v>
      </c>
    </row>
    <row r="69" spans="1:24" x14ac:dyDescent="0.25">
      <c r="A69" s="6">
        <v>6</v>
      </c>
      <c r="B69" s="4">
        <v>3065</v>
      </c>
      <c r="C69" s="4" t="s">
        <v>186</v>
      </c>
      <c r="D69" s="4"/>
      <c r="E69" s="3" t="s">
        <v>249</v>
      </c>
      <c r="F69" s="4">
        <v>300</v>
      </c>
      <c r="G69" s="4">
        <v>100</v>
      </c>
      <c r="H69" s="4">
        <v>200</v>
      </c>
      <c r="I69" s="4">
        <v>10</v>
      </c>
      <c r="J69" s="22">
        <v>1</v>
      </c>
      <c r="K69" s="30"/>
      <c r="L69" s="30"/>
      <c r="M69" s="30"/>
      <c r="N69" s="4">
        <v>48</v>
      </c>
      <c r="O69" s="25">
        <v>4890000</v>
      </c>
      <c r="P69" s="15">
        <v>2.78</v>
      </c>
      <c r="Q69" s="35"/>
      <c r="R69" s="15"/>
      <c r="S69" s="4"/>
      <c r="T69" s="4"/>
      <c r="U69" s="4"/>
      <c r="V69" s="21"/>
      <c r="W69" s="21"/>
      <c r="X69" s="21" t="s">
        <v>252</v>
      </c>
    </row>
    <row r="70" spans="1:24" x14ac:dyDescent="0.25">
      <c r="A70" s="6"/>
      <c r="B70" s="4"/>
      <c r="C70" s="4"/>
      <c r="D70" s="4"/>
      <c r="E70" s="6"/>
      <c r="F70" s="4"/>
      <c r="G70" s="4"/>
      <c r="H70" s="4"/>
      <c r="I70" s="21"/>
      <c r="J70" s="21"/>
      <c r="K70" s="21"/>
      <c r="L70" s="21"/>
      <c r="M70" s="21"/>
      <c r="N70" s="4"/>
      <c r="O70" s="23"/>
      <c r="P70" s="6"/>
      <c r="Q70" s="4"/>
      <c r="R70" s="6"/>
      <c r="S70" s="21"/>
      <c r="T70" s="21"/>
      <c r="U70" s="21"/>
      <c r="V70" s="21"/>
      <c r="W70" s="21"/>
      <c r="X70" s="21"/>
    </row>
    <row r="71" spans="1:24" x14ac:dyDescent="0.25">
      <c r="A71" s="27" t="s">
        <v>247</v>
      </c>
      <c r="E71" s="3"/>
      <c r="P71" s="3"/>
      <c r="Q71" s="8"/>
    </row>
    <row r="72" spans="1:24" x14ac:dyDescent="0.25">
      <c r="A72" s="21">
        <v>1</v>
      </c>
      <c r="B72" s="21">
        <v>3065</v>
      </c>
      <c r="C72" s="21">
        <v>625</v>
      </c>
      <c r="D72" s="21"/>
      <c r="E72" s="6">
        <v>65</v>
      </c>
      <c r="F72" s="21">
        <v>100</v>
      </c>
      <c r="G72" s="21">
        <v>600</v>
      </c>
      <c r="H72" s="21">
        <v>200</v>
      </c>
      <c r="I72" s="21">
        <v>10</v>
      </c>
      <c r="J72" s="22">
        <v>5</v>
      </c>
      <c r="K72" s="21"/>
      <c r="L72" s="21"/>
      <c r="M72" s="21"/>
      <c r="N72" s="21">
        <v>48</v>
      </c>
      <c r="O72" s="25">
        <v>4890000</v>
      </c>
      <c r="P72" s="6">
        <v>2.78</v>
      </c>
      <c r="Q72" s="4"/>
      <c r="R72" s="6"/>
      <c r="S72" s="21">
        <v>0.14000000000000001</v>
      </c>
      <c r="T72" s="21" t="s">
        <v>79</v>
      </c>
      <c r="U72" s="21"/>
      <c r="V72" s="21"/>
      <c r="W72" s="21" t="s">
        <v>245</v>
      </c>
      <c r="X72" s="21" t="s">
        <v>246</v>
      </c>
    </row>
    <row r="73" spans="1:24" x14ac:dyDescent="0.25">
      <c r="A73">
        <v>2</v>
      </c>
      <c r="E73" s="3"/>
      <c r="P73" s="3"/>
      <c r="Q73" s="8"/>
      <c r="X73" t="s">
        <v>244</v>
      </c>
    </row>
    <row r="74" spans="1:24" x14ac:dyDescent="0.25">
      <c r="A74" s="6" t="s">
        <v>285</v>
      </c>
      <c r="E74" s="3"/>
      <c r="P74" s="3"/>
      <c r="Q74" s="8"/>
    </row>
    <row r="75" spans="1:24" x14ac:dyDescent="0.25">
      <c r="A75" s="17"/>
      <c r="B75" s="4" t="s">
        <v>284</v>
      </c>
      <c r="C75" s="8" t="s">
        <v>186</v>
      </c>
      <c r="D75" s="8"/>
      <c r="E75" s="3">
        <v>65</v>
      </c>
      <c r="F75" s="4">
        <v>100</v>
      </c>
      <c r="G75" s="4">
        <v>100</v>
      </c>
      <c r="H75" s="4">
        <v>200</v>
      </c>
      <c r="I75" s="4">
        <v>10</v>
      </c>
      <c r="J75" s="34">
        <v>15</v>
      </c>
      <c r="K75" s="2">
        <v>1.0000000000000001E-5</v>
      </c>
      <c r="L75" s="2">
        <v>4.0000000000000001E-8</v>
      </c>
      <c r="M75" s="2"/>
      <c r="N75">
        <v>48</v>
      </c>
      <c r="O75" s="9">
        <v>4890000</v>
      </c>
      <c r="P75" s="3">
        <v>2.78</v>
      </c>
      <c r="Q75" s="9">
        <v>1.0000000000000001E-9</v>
      </c>
      <c r="R75" s="36">
        <v>2.9999999999999997E-4</v>
      </c>
      <c r="S75" s="33"/>
      <c r="T75" s="33"/>
      <c r="X75" t="s">
        <v>373</v>
      </c>
    </row>
    <row r="76" spans="1:24" x14ac:dyDescent="0.25">
      <c r="A76" s="53">
        <v>3</v>
      </c>
      <c r="B76" s="4" t="s">
        <v>284</v>
      </c>
      <c r="C76" s="8" t="s">
        <v>186</v>
      </c>
      <c r="D76" s="4" t="s">
        <v>326</v>
      </c>
      <c r="E76" s="3">
        <v>65</v>
      </c>
      <c r="F76" s="4">
        <v>100</v>
      </c>
      <c r="G76" s="4">
        <v>600</v>
      </c>
      <c r="H76" s="4">
        <v>200</v>
      </c>
      <c r="I76" s="4">
        <v>10</v>
      </c>
      <c r="J76" s="34">
        <v>15</v>
      </c>
      <c r="K76" s="2">
        <v>1.0000000000000001E-5</v>
      </c>
      <c r="L76" s="2">
        <v>4.0000000000000001E-8</v>
      </c>
      <c r="M76" s="28">
        <v>0.9</v>
      </c>
      <c r="N76">
        <v>48</v>
      </c>
      <c r="O76" s="9">
        <v>4890000</v>
      </c>
      <c r="P76" s="3">
        <v>2.78</v>
      </c>
      <c r="Q76" s="9">
        <v>1.0000000000000001E-9</v>
      </c>
      <c r="R76" s="36">
        <v>5.0000000000000001E-4</v>
      </c>
      <c r="S76" s="33">
        <v>6.0999999999999999E-2</v>
      </c>
      <c r="T76" s="33">
        <v>13.31</v>
      </c>
      <c r="W76" t="s">
        <v>375</v>
      </c>
      <c r="X76" t="s">
        <v>374</v>
      </c>
    </row>
    <row r="77" spans="1:24" x14ac:dyDescent="0.25">
      <c r="A77" s="53">
        <v>4</v>
      </c>
      <c r="B77" s="4" t="s">
        <v>284</v>
      </c>
      <c r="C77" s="8" t="s">
        <v>186</v>
      </c>
      <c r="D77" s="4" t="s">
        <v>326</v>
      </c>
      <c r="E77" s="3">
        <v>65</v>
      </c>
      <c r="F77" s="4">
        <v>100</v>
      </c>
      <c r="G77" s="4">
        <v>600</v>
      </c>
      <c r="H77" s="4">
        <v>200</v>
      </c>
      <c r="I77" s="4">
        <v>10</v>
      </c>
      <c r="J77" s="34">
        <v>15</v>
      </c>
      <c r="K77" s="2">
        <v>1.0000000000000001E-5</v>
      </c>
      <c r="L77" s="2">
        <v>4.0000000000000001E-8</v>
      </c>
      <c r="M77" s="28">
        <v>0.9</v>
      </c>
      <c r="N77">
        <v>48</v>
      </c>
      <c r="O77" s="9">
        <v>4890000</v>
      </c>
      <c r="P77" s="3">
        <v>2.78</v>
      </c>
      <c r="Q77" s="9">
        <v>1.0000000000000001E-9</v>
      </c>
      <c r="R77" s="36">
        <v>5.0000000000000001E-4</v>
      </c>
      <c r="S77" s="33">
        <v>0.06</v>
      </c>
      <c r="T77" s="33">
        <v>13.3</v>
      </c>
      <c r="X77" t="s">
        <v>376</v>
      </c>
    </row>
    <row r="78" spans="1:24" x14ac:dyDescent="0.25">
      <c r="A78" s="53"/>
      <c r="B78" s="4"/>
      <c r="C78" s="8"/>
      <c r="D78" s="4"/>
      <c r="E78" s="3"/>
      <c r="F78" s="4"/>
      <c r="G78" s="4"/>
      <c r="H78" s="4"/>
      <c r="I78" s="4"/>
      <c r="J78" s="34"/>
      <c r="K78" s="2"/>
      <c r="L78" s="2"/>
      <c r="M78" s="28"/>
      <c r="O78" s="9"/>
      <c r="P78" s="3"/>
      <c r="Q78" s="9"/>
      <c r="R78" s="36"/>
      <c r="S78" s="33"/>
      <c r="T78" s="33"/>
    </row>
    <row r="79" spans="1:24" x14ac:dyDescent="0.25">
      <c r="A79" s="54">
        <v>6</v>
      </c>
      <c r="B79" s="4" t="s">
        <v>284</v>
      </c>
      <c r="C79" s="8" t="s">
        <v>186</v>
      </c>
      <c r="D79" s="4" t="s">
        <v>326</v>
      </c>
      <c r="E79" s="3">
        <v>65</v>
      </c>
      <c r="F79" s="4">
        <v>100</v>
      </c>
      <c r="G79" s="4">
        <v>600</v>
      </c>
      <c r="H79" s="4">
        <v>200</v>
      </c>
      <c r="I79" s="4">
        <v>10</v>
      </c>
      <c r="J79" s="34">
        <v>60</v>
      </c>
      <c r="K79" s="2">
        <v>1.0000000000000001E-5</v>
      </c>
      <c r="L79" s="2">
        <v>4.0000000000000001E-8</v>
      </c>
      <c r="M79" s="28">
        <v>0.9</v>
      </c>
      <c r="N79">
        <v>48</v>
      </c>
      <c r="O79" s="9">
        <v>4890000</v>
      </c>
      <c r="P79" s="3">
        <v>2.78</v>
      </c>
      <c r="Q79" s="9">
        <v>1.0000000000000001E-9</v>
      </c>
      <c r="R79" s="36">
        <v>5.0000000000000001E-4</v>
      </c>
      <c r="S79" s="33">
        <v>0.06</v>
      </c>
      <c r="T79" s="33">
        <v>13.89</v>
      </c>
      <c r="X79" t="s">
        <v>377</v>
      </c>
    </row>
    <row r="80" spans="1:24" x14ac:dyDescent="0.25">
      <c r="A80" s="54"/>
      <c r="B80" s="4"/>
      <c r="C80" s="8"/>
      <c r="D80" s="4"/>
      <c r="E80" s="3"/>
      <c r="F80" s="4"/>
      <c r="G80" s="4"/>
      <c r="H80" s="4"/>
      <c r="I80" s="4"/>
      <c r="J80" s="34"/>
      <c r="K80" s="2"/>
      <c r="L80" s="2"/>
      <c r="M80" s="28"/>
      <c r="O80" s="9"/>
      <c r="P80" s="3"/>
      <c r="Q80" s="9"/>
      <c r="R80" s="36"/>
      <c r="S80" s="33"/>
      <c r="T80" s="33"/>
    </row>
    <row r="81" spans="1:24" x14ac:dyDescent="0.25">
      <c r="A81" s="54" t="s">
        <v>392</v>
      </c>
      <c r="B81" s="4"/>
      <c r="C81" s="8"/>
      <c r="D81" s="4"/>
      <c r="E81" s="3"/>
      <c r="F81" s="4"/>
      <c r="G81" s="4"/>
      <c r="H81" s="4"/>
      <c r="I81" s="4"/>
      <c r="J81" s="34"/>
      <c r="K81" s="2"/>
      <c r="L81" s="2"/>
      <c r="M81" s="28"/>
      <c r="O81" s="9"/>
      <c r="P81" s="3"/>
      <c r="Q81" s="9"/>
      <c r="R81" s="36"/>
      <c r="S81" s="33"/>
      <c r="T81" s="33"/>
    </row>
    <row r="82" spans="1:24" x14ac:dyDescent="0.25">
      <c r="A82" s="54">
        <v>1</v>
      </c>
      <c r="B82" s="4" t="s">
        <v>284</v>
      </c>
      <c r="C82" s="8" t="s">
        <v>186</v>
      </c>
      <c r="D82" s="4" t="s">
        <v>326</v>
      </c>
      <c r="E82" s="3">
        <v>65</v>
      </c>
      <c r="F82" s="4">
        <v>100</v>
      </c>
      <c r="G82" s="4">
        <v>300</v>
      </c>
      <c r="H82" s="4">
        <v>400</v>
      </c>
      <c r="I82" s="4">
        <v>10</v>
      </c>
      <c r="J82" s="34">
        <v>60</v>
      </c>
      <c r="K82" s="2">
        <v>1.0000000000000001E-5</v>
      </c>
      <c r="L82" s="2">
        <v>4.0000000000000001E-8</v>
      </c>
      <c r="M82" s="28">
        <v>0.9</v>
      </c>
      <c r="N82">
        <v>48</v>
      </c>
      <c r="O82" s="9">
        <v>4890000</v>
      </c>
      <c r="P82" s="3">
        <v>2.78</v>
      </c>
      <c r="Q82" s="9">
        <v>1.0000000000000001E-9</v>
      </c>
      <c r="R82" s="36">
        <v>2.0000000000000001E-4</v>
      </c>
      <c r="S82" s="57">
        <v>4.7E-2</v>
      </c>
      <c r="T82" s="58">
        <v>14.5</v>
      </c>
      <c r="W82" t="s">
        <v>380</v>
      </c>
      <c r="X82" t="s">
        <v>378</v>
      </c>
    </row>
    <row r="83" spans="1:24" x14ac:dyDescent="0.25">
      <c r="A83" s="55" t="s">
        <v>304</v>
      </c>
      <c r="B83" s="4" t="s">
        <v>284</v>
      </c>
      <c r="C83" s="8" t="s">
        <v>186</v>
      </c>
      <c r="D83" s="4" t="s">
        <v>326</v>
      </c>
      <c r="E83" s="3">
        <v>65</v>
      </c>
      <c r="F83" s="4">
        <v>100</v>
      </c>
      <c r="G83" s="4">
        <v>300</v>
      </c>
      <c r="H83" s="4">
        <v>400</v>
      </c>
      <c r="I83" s="4">
        <v>10</v>
      </c>
      <c r="J83" s="34">
        <v>60</v>
      </c>
      <c r="K83" s="2">
        <v>1.0000000000000001E-5</v>
      </c>
      <c r="L83" s="2">
        <v>4.0000000000000001E-8</v>
      </c>
      <c r="M83" s="28">
        <v>0.9</v>
      </c>
      <c r="N83">
        <v>48</v>
      </c>
      <c r="O83" s="9">
        <v>4890000</v>
      </c>
      <c r="P83" s="3">
        <v>2.78</v>
      </c>
      <c r="Q83" s="9">
        <v>1.0000000000000001E-9</v>
      </c>
      <c r="R83" s="36">
        <v>2.0000000000000001E-4</v>
      </c>
      <c r="S83" s="33">
        <v>4.7E-2</v>
      </c>
      <c r="T83" s="33">
        <v>14.56</v>
      </c>
      <c r="W83" t="s">
        <v>379</v>
      </c>
      <c r="X83" t="s">
        <v>403</v>
      </c>
    </row>
    <row r="84" spans="1:24" x14ac:dyDescent="0.25">
      <c r="A84" s="55" t="s">
        <v>402</v>
      </c>
      <c r="B84" s="4" t="s">
        <v>284</v>
      </c>
      <c r="C84" s="8" t="s">
        <v>186</v>
      </c>
      <c r="D84" s="4" t="s">
        <v>326</v>
      </c>
      <c r="E84" s="3">
        <v>65</v>
      </c>
      <c r="F84" s="4">
        <v>100</v>
      </c>
      <c r="G84" s="4">
        <v>300</v>
      </c>
      <c r="H84" s="4">
        <v>400</v>
      </c>
      <c r="I84" s="4">
        <v>10</v>
      </c>
      <c r="J84" s="34">
        <v>60</v>
      </c>
      <c r="K84" s="2">
        <v>1.0000000000000001E-5</v>
      </c>
      <c r="L84" s="2">
        <v>4.0000000000000001E-8</v>
      </c>
      <c r="M84" s="28">
        <v>0.9</v>
      </c>
      <c r="N84">
        <v>48</v>
      </c>
      <c r="O84" s="9">
        <v>4890000</v>
      </c>
      <c r="P84" s="3">
        <v>2.78</v>
      </c>
      <c r="Q84" s="9">
        <v>1.0000000000000001E-9</v>
      </c>
      <c r="R84" s="36">
        <v>2.0000000000000001E-4</v>
      </c>
      <c r="S84" s="33"/>
      <c r="T84" s="33"/>
      <c r="X84" t="s">
        <v>404</v>
      </c>
    </row>
    <row r="85" spans="1:24" x14ac:dyDescent="0.25">
      <c r="A85" s="54">
        <v>2</v>
      </c>
      <c r="B85" s="4" t="s">
        <v>284</v>
      </c>
      <c r="C85" s="8" t="s">
        <v>186</v>
      </c>
      <c r="D85" s="4" t="s">
        <v>326</v>
      </c>
      <c r="E85" s="3">
        <v>65</v>
      </c>
      <c r="F85" s="4">
        <v>100</v>
      </c>
      <c r="G85" s="4">
        <v>300</v>
      </c>
      <c r="H85" s="4">
        <v>400</v>
      </c>
      <c r="I85" s="4">
        <v>10</v>
      </c>
      <c r="J85" s="34">
        <v>60</v>
      </c>
      <c r="K85" s="2">
        <v>1.0000000000000001E-5</v>
      </c>
      <c r="L85" s="2">
        <v>4.0000000000000001E-8</v>
      </c>
      <c r="M85" s="28">
        <v>0.9</v>
      </c>
      <c r="N85">
        <v>48</v>
      </c>
      <c r="O85" s="9">
        <v>4890000</v>
      </c>
      <c r="P85" s="3">
        <v>2.78</v>
      </c>
      <c r="Q85" s="9">
        <v>1.0000000000000001E-9</v>
      </c>
      <c r="R85" s="36">
        <v>5.9999999999999995E-4</v>
      </c>
      <c r="S85" s="57">
        <v>0.13200000000000001</v>
      </c>
      <c r="T85" s="58">
        <v>4.5999999999999996</v>
      </c>
      <c r="W85" t="s">
        <v>223</v>
      </c>
      <c r="X85" t="s">
        <v>393</v>
      </c>
    </row>
    <row r="86" spans="1:24" x14ac:dyDescent="0.25">
      <c r="E86" s="3"/>
      <c r="P86" s="3"/>
      <c r="Q86" s="8"/>
    </row>
    <row r="87" spans="1:24" x14ac:dyDescent="0.25">
      <c r="A87" s="27" t="s">
        <v>248</v>
      </c>
      <c r="E87" s="3"/>
      <c r="P87" s="3"/>
      <c r="Q87" s="8"/>
    </row>
    <row r="88" spans="1:24" x14ac:dyDescent="0.25">
      <c r="A88">
        <v>1</v>
      </c>
      <c r="B88" s="4">
        <v>3065</v>
      </c>
      <c r="C88" s="4" t="s">
        <v>186</v>
      </c>
      <c r="D88" s="4"/>
      <c r="E88" s="3" t="s">
        <v>249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/>
      <c r="L88" s="30"/>
      <c r="M88" s="30"/>
      <c r="N88" s="4">
        <v>48</v>
      </c>
      <c r="O88" s="25">
        <v>4890000</v>
      </c>
      <c r="P88" s="15">
        <v>2.78</v>
      </c>
      <c r="Q88" s="35"/>
      <c r="R88" s="15"/>
      <c r="S88">
        <v>0.18</v>
      </c>
      <c r="T88">
        <v>2.4300000000000002</v>
      </c>
      <c r="X88" t="s">
        <v>250</v>
      </c>
    </row>
    <row r="89" spans="1:24" x14ac:dyDescent="0.25">
      <c r="A89" s="6">
        <v>2</v>
      </c>
      <c r="B89" s="4">
        <v>3065</v>
      </c>
      <c r="C89" s="4" t="s">
        <v>186</v>
      </c>
      <c r="D89" s="4"/>
      <c r="E89" s="3" t="s">
        <v>249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/>
      <c r="L89" s="30"/>
      <c r="M89" s="30"/>
      <c r="N89" s="4">
        <v>48</v>
      </c>
      <c r="O89" s="25">
        <v>4890000</v>
      </c>
      <c r="P89" s="15">
        <v>2.78</v>
      </c>
      <c r="Q89" s="35"/>
      <c r="R89" s="15"/>
      <c r="S89">
        <v>0.24</v>
      </c>
      <c r="T89">
        <v>2.09</v>
      </c>
    </row>
    <row r="90" spans="1:24" x14ac:dyDescent="0.25">
      <c r="A90" s="4" t="s">
        <v>303</v>
      </c>
      <c r="B90" s="4"/>
      <c r="C90" s="4"/>
      <c r="D90" s="4"/>
      <c r="E90" s="3"/>
      <c r="F90" s="4"/>
      <c r="G90" s="4"/>
      <c r="H90" s="4"/>
      <c r="I90" s="4"/>
      <c r="J90" s="22"/>
      <c r="K90" s="30"/>
      <c r="L90" s="30"/>
      <c r="M90" s="30"/>
      <c r="N90" s="4"/>
      <c r="O90" s="25"/>
      <c r="P90" s="15"/>
      <c r="Q90" s="35"/>
      <c r="R90" s="15"/>
    </row>
    <row r="91" spans="1:24" x14ac:dyDescent="0.25">
      <c r="A91" s="4">
        <v>3</v>
      </c>
      <c r="B91" s="4" t="s">
        <v>284</v>
      </c>
      <c r="C91" s="8" t="s">
        <v>186</v>
      </c>
      <c r="D91" s="8"/>
      <c r="E91" s="3" t="s">
        <v>320</v>
      </c>
      <c r="F91" s="4">
        <v>100</v>
      </c>
      <c r="G91" s="4">
        <v>600</v>
      </c>
      <c r="H91" s="4">
        <v>400</v>
      </c>
      <c r="I91" s="4">
        <v>10</v>
      </c>
      <c r="J91" s="34">
        <v>15</v>
      </c>
      <c r="K91" s="2">
        <v>1.0000000000000001E-5</v>
      </c>
      <c r="L91" s="2">
        <v>4.0000000000000001E-8</v>
      </c>
      <c r="M91" s="28">
        <v>0.4</v>
      </c>
      <c r="N91">
        <v>48</v>
      </c>
      <c r="O91" s="9">
        <v>4890000</v>
      </c>
      <c r="P91" s="3">
        <v>2.78</v>
      </c>
      <c r="Q91" s="9">
        <v>1.0000000000000001E-9</v>
      </c>
      <c r="R91" s="36">
        <v>2.5000000000000001E-4</v>
      </c>
      <c r="S91" s="33">
        <v>1.9E-2</v>
      </c>
      <c r="T91" s="33">
        <v>1.03</v>
      </c>
      <c r="X91" t="s">
        <v>321</v>
      </c>
    </row>
    <row r="92" spans="1:24" x14ac:dyDescent="0.25">
      <c r="A92" s="4">
        <v>4</v>
      </c>
      <c r="B92" s="4" t="s">
        <v>284</v>
      </c>
      <c r="C92" s="8" t="s">
        <v>186</v>
      </c>
      <c r="D92" s="8"/>
      <c r="E92" s="3" t="s">
        <v>320</v>
      </c>
      <c r="F92" s="4">
        <v>100</v>
      </c>
      <c r="G92" s="4">
        <v>600</v>
      </c>
      <c r="H92" s="4">
        <v>400</v>
      </c>
      <c r="I92" s="4">
        <v>10</v>
      </c>
      <c r="J92" s="34">
        <v>15</v>
      </c>
      <c r="K92" s="2">
        <v>1.0000000000000001E-5</v>
      </c>
      <c r="L92" s="2">
        <v>4.0000000000000001E-8</v>
      </c>
      <c r="M92" s="28">
        <v>0.4</v>
      </c>
      <c r="N92">
        <v>48</v>
      </c>
      <c r="O92" s="9">
        <v>4890000</v>
      </c>
      <c r="P92" s="3">
        <v>2.78</v>
      </c>
      <c r="Q92" s="9">
        <v>1.0000000000000001E-9</v>
      </c>
      <c r="R92" s="36">
        <v>2.5000000000000001E-4</v>
      </c>
      <c r="S92" s="33">
        <v>0.33</v>
      </c>
      <c r="T92" s="33">
        <v>8.31</v>
      </c>
      <c r="X92" t="s">
        <v>322</v>
      </c>
    </row>
    <row r="93" spans="1:24" x14ac:dyDescent="0.25">
      <c r="E93" s="3"/>
      <c r="P93" s="3"/>
      <c r="Q93" s="8"/>
    </row>
    <row r="94" spans="1:24" x14ac:dyDescent="0.25">
      <c r="A94" s="17" t="s">
        <v>239</v>
      </c>
      <c r="B94" s="8"/>
      <c r="C94" s="8"/>
      <c r="D94" s="8"/>
      <c r="E94" s="3"/>
      <c r="N94" s="8"/>
      <c r="O94" s="8"/>
      <c r="P94" s="3"/>
      <c r="Q94" s="8"/>
    </row>
    <row r="95" spans="1:24" x14ac:dyDescent="0.25">
      <c r="A95" s="3"/>
      <c r="B95" s="4">
        <v>3065</v>
      </c>
      <c r="C95" s="4">
        <v>625</v>
      </c>
      <c r="D95" s="4"/>
      <c r="E95" s="3">
        <v>65</v>
      </c>
      <c r="F95" s="4">
        <v>100</v>
      </c>
      <c r="G95" s="4">
        <v>600</v>
      </c>
      <c r="H95" s="4">
        <v>200</v>
      </c>
      <c r="I95" s="4">
        <v>10</v>
      </c>
      <c r="J95" s="22">
        <v>1</v>
      </c>
      <c r="K95" s="30">
        <v>1.0000000000000001E-5</v>
      </c>
      <c r="L95" s="30">
        <v>1.0000000000000001E-18</v>
      </c>
      <c r="M95" s="30"/>
      <c r="N95" s="4">
        <v>48</v>
      </c>
      <c r="O95" s="25">
        <v>4890000</v>
      </c>
      <c r="P95" s="15">
        <v>2.78</v>
      </c>
      <c r="Q95" s="35"/>
      <c r="R95" s="15"/>
      <c r="S95">
        <v>0.24</v>
      </c>
      <c r="X95" t="s">
        <v>242</v>
      </c>
    </row>
    <row r="96" spans="1:24" x14ac:dyDescent="0.25">
      <c r="A96" s="3"/>
      <c r="B96" s="4">
        <v>3065</v>
      </c>
      <c r="C96" s="4">
        <v>625</v>
      </c>
      <c r="D96" s="4"/>
      <c r="E96" s="3">
        <v>65</v>
      </c>
      <c r="F96" s="4">
        <v>100</v>
      </c>
      <c r="G96" s="4">
        <v>600</v>
      </c>
      <c r="H96" s="4">
        <v>200</v>
      </c>
      <c r="I96" s="4">
        <v>10</v>
      </c>
      <c r="J96" s="22">
        <v>15</v>
      </c>
      <c r="K96" s="30">
        <v>1.0000000000000001E-5</v>
      </c>
      <c r="L96" s="30">
        <v>1.0000000000000001E-18</v>
      </c>
      <c r="M96" s="30"/>
      <c r="N96" s="4">
        <v>48</v>
      </c>
      <c r="O96" s="25">
        <v>4890000</v>
      </c>
      <c r="P96" s="15">
        <v>2.78</v>
      </c>
      <c r="Q96" s="35"/>
      <c r="R96" s="15"/>
      <c r="X96" t="s">
        <v>243</v>
      </c>
    </row>
    <row r="97" spans="1:24" x14ac:dyDescent="0.25">
      <c r="A97" s="6">
        <v>1</v>
      </c>
      <c r="B97" s="4">
        <v>3065</v>
      </c>
      <c r="C97" s="4">
        <v>625</v>
      </c>
      <c r="D97" s="4"/>
      <c r="E97" s="6">
        <v>65</v>
      </c>
      <c r="F97" s="4">
        <v>100</v>
      </c>
      <c r="G97" s="4">
        <v>600</v>
      </c>
      <c r="H97" s="4">
        <v>400</v>
      </c>
      <c r="I97" s="4">
        <v>10</v>
      </c>
      <c r="J97" s="22">
        <v>15</v>
      </c>
      <c r="K97" s="30">
        <v>1.0000000000000001E-5</v>
      </c>
      <c r="L97" s="30">
        <v>1.0000000000000001E-18</v>
      </c>
      <c r="M97" s="30"/>
      <c r="N97" s="4">
        <v>48</v>
      </c>
      <c r="O97" s="25">
        <v>4890000</v>
      </c>
      <c r="P97" s="15">
        <v>2.78</v>
      </c>
      <c r="Q97" s="35"/>
      <c r="R97" s="15"/>
      <c r="S97" s="21">
        <v>0.15</v>
      </c>
      <c r="T97" s="21">
        <v>41</v>
      </c>
      <c r="U97" s="21"/>
      <c r="V97" s="21"/>
      <c r="W97" s="21"/>
      <c r="X97" s="21"/>
    </row>
    <row r="98" spans="1:24" x14ac:dyDescent="0.25">
      <c r="A98" s="6" t="s">
        <v>303</v>
      </c>
      <c r="B98" s="4"/>
      <c r="C98" s="4"/>
      <c r="D98" s="4"/>
      <c r="E98" s="6"/>
      <c r="F98" s="4"/>
      <c r="G98" s="4"/>
      <c r="H98" s="4"/>
      <c r="I98" s="4"/>
      <c r="J98" s="22"/>
      <c r="K98" s="30"/>
      <c r="L98" s="30"/>
      <c r="M98" s="30"/>
      <c r="N98" s="4"/>
      <c r="O98" s="25"/>
      <c r="P98" s="15"/>
      <c r="Q98" s="35"/>
      <c r="R98" s="15"/>
      <c r="S98" s="21"/>
      <c r="T98" s="21"/>
      <c r="U98" s="21"/>
      <c r="V98" s="21"/>
      <c r="W98" s="21"/>
      <c r="X98" s="21"/>
    </row>
    <row r="99" spans="1:24" x14ac:dyDescent="0.25">
      <c r="A99" s="38" t="s">
        <v>304</v>
      </c>
      <c r="B99" s="4" t="s">
        <v>284</v>
      </c>
      <c r="C99" s="8" t="s">
        <v>186</v>
      </c>
      <c r="D99" s="8"/>
      <c r="E99" s="3">
        <v>65</v>
      </c>
      <c r="F99" s="4">
        <v>100</v>
      </c>
      <c r="G99" s="4">
        <v>600</v>
      </c>
      <c r="H99" s="4">
        <v>400</v>
      </c>
      <c r="I99" s="4">
        <v>10</v>
      </c>
      <c r="J99" s="34">
        <v>15</v>
      </c>
      <c r="K99" s="2">
        <v>1.0000000000000001E-5</v>
      </c>
      <c r="L99" s="2">
        <v>4.0000000000000001E-8</v>
      </c>
      <c r="M99" s="2"/>
      <c r="N99">
        <v>48</v>
      </c>
      <c r="O99" s="9">
        <v>4890000</v>
      </c>
      <c r="P99" s="3">
        <v>2.78</v>
      </c>
      <c r="Q99" s="9">
        <v>1.0000000000000001E-9</v>
      </c>
      <c r="R99" s="36">
        <v>2.5000000000000001E-4</v>
      </c>
      <c r="S99" s="21"/>
      <c r="T99" s="33">
        <v>7.75</v>
      </c>
      <c r="U99" s="21"/>
      <c r="V99" s="21"/>
      <c r="W99" s="21"/>
      <c r="X99" s="21" t="s">
        <v>306</v>
      </c>
    </row>
    <row r="100" spans="1:24" x14ac:dyDescent="0.25">
      <c r="A100" s="38">
        <v>2</v>
      </c>
      <c r="B100" s="4" t="s">
        <v>284</v>
      </c>
      <c r="C100" s="8" t="s">
        <v>186</v>
      </c>
      <c r="D100" s="8"/>
      <c r="E100" s="3">
        <v>65</v>
      </c>
      <c r="F100" s="4">
        <v>100</v>
      </c>
      <c r="G100" s="4">
        <v>600</v>
      </c>
      <c r="H100" s="4">
        <v>400</v>
      </c>
      <c r="I100" s="4">
        <v>10</v>
      </c>
      <c r="J100" s="34">
        <v>15</v>
      </c>
      <c r="K100" s="2">
        <v>1.0000000000000001E-5</v>
      </c>
      <c r="L100" s="2">
        <v>4.0000000000000001E-8</v>
      </c>
      <c r="M100" s="2"/>
      <c r="N100">
        <v>48</v>
      </c>
      <c r="O100" s="9">
        <v>4890000</v>
      </c>
      <c r="P100" s="3">
        <v>2.78</v>
      </c>
      <c r="Q100" s="9">
        <v>1.0000000000000001E-9</v>
      </c>
      <c r="R100" s="36">
        <v>2.5000000000000001E-4</v>
      </c>
      <c r="S100" s="33">
        <v>0.06</v>
      </c>
      <c r="T100" s="33">
        <v>12.68</v>
      </c>
      <c r="U100" s="21"/>
      <c r="V100" s="21"/>
      <c r="W100" s="21"/>
      <c r="X100" s="21" t="s">
        <v>307</v>
      </c>
    </row>
    <row r="101" spans="1:24" x14ac:dyDescent="0.25">
      <c r="A101" s="1" t="s">
        <v>291</v>
      </c>
      <c r="B101" s="4" t="s">
        <v>284</v>
      </c>
      <c r="C101" s="8" t="s">
        <v>186</v>
      </c>
      <c r="D101" s="8"/>
      <c r="E101" s="3">
        <v>65</v>
      </c>
      <c r="F101" s="4">
        <v>100</v>
      </c>
      <c r="G101" s="4">
        <v>600</v>
      </c>
      <c r="H101" s="4">
        <v>400</v>
      </c>
      <c r="I101" s="4">
        <v>10</v>
      </c>
      <c r="J101" s="34">
        <v>15</v>
      </c>
      <c r="K101" s="2">
        <v>1.0000000000000001E-5</v>
      </c>
      <c r="L101" s="2">
        <v>4.0000000000000001E-8</v>
      </c>
      <c r="M101" s="2"/>
      <c r="N101">
        <v>48</v>
      </c>
      <c r="O101" s="9">
        <v>4890000</v>
      </c>
      <c r="P101" s="3">
        <v>2.78</v>
      </c>
      <c r="Q101" s="9">
        <v>1E-8</v>
      </c>
      <c r="R101" s="36">
        <v>2.5000000000000001E-4</v>
      </c>
      <c r="X101" s="21" t="s">
        <v>311</v>
      </c>
    </row>
    <row r="102" spans="1:24" x14ac:dyDescent="0.25">
      <c r="A102" s="1">
        <v>3</v>
      </c>
      <c r="B102" s="4" t="s">
        <v>284</v>
      </c>
      <c r="C102" s="8" t="s">
        <v>186</v>
      </c>
      <c r="D102" s="8" t="s">
        <v>186</v>
      </c>
      <c r="E102" s="3">
        <v>65</v>
      </c>
      <c r="F102" s="4">
        <v>100</v>
      </c>
      <c r="G102" s="4">
        <v>600</v>
      </c>
      <c r="H102" s="4">
        <v>400</v>
      </c>
      <c r="I102" s="4">
        <v>10</v>
      </c>
      <c r="J102" s="34">
        <v>15</v>
      </c>
      <c r="K102" s="2">
        <v>1.0000000000000001E-5</v>
      </c>
      <c r="L102" s="2">
        <v>4.0000000000000001E-8</v>
      </c>
      <c r="M102" s="28">
        <v>0.6</v>
      </c>
      <c r="N102">
        <v>48</v>
      </c>
      <c r="O102" s="9">
        <v>4890000</v>
      </c>
      <c r="P102" s="3">
        <v>2.78</v>
      </c>
      <c r="Q102" s="9">
        <v>1E-8</v>
      </c>
      <c r="R102" s="36">
        <v>2.5000000000000001E-4</v>
      </c>
      <c r="S102" s="33">
        <v>0.16</v>
      </c>
      <c r="T102" s="33">
        <v>6.09</v>
      </c>
      <c r="X102" s="21" t="s">
        <v>370</v>
      </c>
    </row>
    <row r="104" spans="1:24" x14ac:dyDescent="0.25">
      <c r="A104" s="52" t="s">
        <v>367</v>
      </c>
    </row>
    <row r="105" spans="1:24" x14ac:dyDescent="0.25">
      <c r="A105">
        <v>1</v>
      </c>
      <c r="B105" t="s">
        <v>365</v>
      </c>
      <c r="C105" t="s">
        <v>368</v>
      </c>
      <c r="D105" t="s">
        <v>326</v>
      </c>
      <c r="E105">
        <v>65</v>
      </c>
      <c r="F105" s="4">
        <v>100</v>
      </c>
      <c r="G105" s="4">
        <v>600</v>
      </c>
      <c r="H105" s="4">
        <v>400</v>
      </c>
      <c r="I105" s="4">
        <v>10</v>
      </c>
      <c r="J105" s="34">
        <v>15</v>
      </c>
      <c r="K105" s="2">
        <v>1.0000000000000001E-5</v>
      </c>
      <c r="L105" s="2">
        <v>4.0000000000000001E-8</v>
      </c>
      <c r="M105" s="28">
        <v>0.6</v>
      </c>
      <c r="N105">
        <v>48</v>
      </c>
      <c r="O105" s="9">
        <v>4890000</v>
      </c>
      <c r="P105" s="3">
        <v>3.44</v>
      </c>
      <c r="Q105" s="2">
        <v>1E-8</v>
      </c>
      <c r="R105" s="36">
        <v>5.0000000000000001E-4</v>
      </c>
      <c r="S105" s="33">
        <v>0.106</v>
      </c>
      <c r="T105" s="33">
        <v>4.4400000000000004</v>
      </c>
      <c r="W105" t="s">
        <v>328</v>
      </c>
      <c r="X105" t="s">
        <v>366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gnWaveData">
                <anchor moveWithCells="1" sizeWithCells="1">
                  <from>
                    <xdr:col>21</xdr:col>
                    <xdr:colOff>57150</xdr:colOff>
                    <xdr:row>0</xdr:row>
                    <xdr:rowOff>9525</xdr:rowOff>
                  </from>
                  <to>
                    <xdr:col>21</xdr:col>
                    <xdr:colOff>1038225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7584-9D97-449D-9697-B813996F054D}">
  <sheetPr codeName="Sheet4"/>
  <dimension ref="A1:W37"/>
  <sheetViews>
    <sheetView tabSelected="1" workbookViewId="0">
      <pane xSplit="1" ySplit="2" topLeftCell="S9" activePane="bottomRight" state="frozen"/>
      <selection pane="topRight" activeCell="B1" sqref="B1"/>
      <selection pane="bottomLeft" activeCell="A3" sqref="A3"/>
      <selection pane="bottomRight" activeCell="S10" sqref="S10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2" width="14.7109375" customWidth="1"/>
    <col min="23" max="23" width="49.85546875" customWidth="1"/>
  </cols>
  <sheetData>
    <row r="1" spans="1:23" ht="18.75" x14ac:dyDescent="0.3">
      <c r="A1" s="20" t="s">
        <v>345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T1" t="s">
        <v>405</v>
      </c>
    </row>
    <row r="2" spans="1:23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281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406</v>
      </c>
      <c r="V2" s="4" t="s">
        <v>57</v>
      </c>
      <c r="W2" s="4" t="s">
        <v>21</v>
      </c>
    </row>
    <row r="3" spans="1:23" x14ac:dyDescent="0.25">
      <c r="A3" s="17" t="s">
        <v>346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</row>
    <row r="4" spans="1:23" x14ac:dyDescent="0.25">
      <c r="A4" s="3" t="s">
        <v>364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</row>
    <row r="5" spans="1:23" x14ac:dyDescent="0.25">
      <c r="A5" s="6" t="s">
        <v>315</v>
      </c>
      <c r="B5" s="4" t="s">
        <v>284</v>
      </c>
      <c r="C5" s="4" t="s">
        <v>186</v>
      </c>
      <c r="D5" s="4" t="s">
        <v>326</v>
      </c>
      <c r="E5" s="6">
        <v>65</v>
      </c>
      <c r="F5" s="4">
        <v>100</v>
      </c>
      <c r="G5" s="4">
        <v>600</v>
      </c>
      <c r="H5" s="4">
        <v>400</v>
      </c>
      <c r="I5" s="4">
        <v>10</v>
      </c>
      <c r="J5" s="22">
        <v>15</v>
      </c>
      <c r="K5" s="30">
        <v>1.0000000000000001E-5</v>
      </c>
      <c r="L5" s="30">
        <v>4.0000000000000001E-8</v>
      </c>
      <c r="M5" s="51">
        <v>0.01</v>
      </c>
      <c r="N5" s="4">
        <v>48</v>
      </c>
      <c r="O5" s="25">
        <v>4890000</v>
      </c>
      <c r="P5" s="15">
        <v>2.78</v>
      </c>
      <c r="Q5" s="43">
        <v>1.0000000000000001E-9</v>
      </c>
      <c r="R5" s="46">
        <v>1.5E-3</v>
      </c>
      <c r="S5" s="37">
        <v>0.51</v>
      </c>
      <c r="T5" s="37">
        <v>2.88</v>
      </c>
      <c r="U5" s="21">
        <v>3.24</v>
      </c>
      <c r="V5" s="21" t="s">
        <v>415</v>
      </c>
      <c r="W5" s="21" t="s">
        <v>417</v>
      </c>
    </row>
    <row r="6" spans="1:23" x14ac:dyDescent="0.25">
      <c r="A6" s="6" t="s">
        <v>316</v>
      </c>
      <c r="B6" s="4" t="s">
        <v>284</v>
      </c>
      <c r="C6" s="4" t="s">
        <v>186</v>
      </c>
      <c r="D6" s="4" t="s">
        <v>326</v>
      </c>
      <c r="E6" s="6">
        <v>65</v>
      </c>
      <c r="F6" s="4">
        <v>100</v>
      </c>
      <c r="G6" s="4">
        <v>600</v>
      </c>
      <c r="H6" s="4">
        <v>400</v>
      </c>
      <c r="I6" s="4">
        <v>10</v>
      </c>
      <c r="J6" s="22">
        <v>15</v>
      </c>
      <c r="K6" s="30">
        <v>1.0000000000000001E-5</v>
      </c>
      <c r="L6" s="30">
        <v>4.0000000000000001E-8</v>
      </c>
      <c r="M6" s="51">
        <v>0.1</v>
      </c>
      <c r="N6" s="4">
        <v>48</v>
      </c>
      <c r="O6" s="25">
        <v>4890000</v>
      </c>
      <c r="P6" s="15">
        <v>2.78</v>
      </c>
      <c r="Q6" s="43">
        <v>1.0000000000000001E-9</v>
      </c>
      <c r="R6" s="46">
        <v>1E-3</v>
      </c>
      <c r="S6" s="37">
        <v>0.27600000000000002</v>
      </c>
      <c r="T6" s="37">
        <v>3.57</v>
      </c>
      <c r="U6" s="21">
        <v>3.7</v>
      </c>
      <c r="V6" s="21" t="s">
        <v>414</v>
      </c>
      <c r="W6" s="21" t="s">
        <v>418</v>
      </c>
    </row>
    <row r="7" spans="1:23" x14ac:dyDescent="0.25">
      <c r="A7" s="6" t="s">
        <v>317</v>
      </c>
      <c r="B7" s="4" t="s">
        <v>284</v>
      </c>
      <c r="C7" s="4" t="s">
        <v>186</v>
      </c>
      <c r="D7" s="4" t="s">
        <v>326</v>
      </c>
      <c r="E7" s="6">
        <v>65</v>
      </c>
      <c r="F7" s="4">
        <v>100</v>
      </c>
      <c r="G7" s="4">
        <v>600</v>
      </c>
      <c r="H7" s="4">
        <v>400</v>
      </c>
      <c r="I7" s="4">
        <v>10</v>
      </c>
      <c r="J7" s="22">
        <v>15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>
        <v>1.0000000000000001E-9</v>
      </c>
      <c r="R7" s="46">
        <v>5.0000000000000001E-4</v>
      </c>
      <c r="S7" s="37">
        <v>0.19</v>
      </c>
      <c r="T7" s="37">
        <v>8.94</v>
      </c>
      <c r="U7" s="21">
        <v>11.4</v>
      </c>
      <c r="V7" s="21" t="s">
        <v>416</v>
      </c>
      <c r="W7" s="21" t="s">
        <v>421</v>
      </c>
    </row>
    <row r="8" spans="1:23" x14ac:dyDescent="0.25">
      <c r="A8" s="6" t="s">
        <v>318</v>
      </c>
      <c r="B8" s="4" t="s">
        <v>284</v>
      </c>
      <c r="C8" s="4" t="s">
        <v>186</v>
      </c>
      <c r="D8" s="4" t="s">
        <v>326</v>
      </c>
      <c r="E8" s="6">
        <v>65</v>
      </c>
      <c r="F8" s="4">
        <v>100</v>
      </c>
      <c r="G8" s="4">
        <v>600</v>
      </c>
      <c r="H8" s="4">
        <v>400</v>
      </c>
      <c r="I8" s="4">
        <v>10</v>
      </c>
      <c r="J8" s="22">
        <v>15</v>
      </c>
      <c r="K8" s="30">
        <v>1.0000000000000001E-5</v>
      </c>
      <c r="L8" s="30">
        <v>4.0000000000000001E-8</v>
      </c>
      <c r="M8" s="51">
        <v>0.75</v>
      </c>
      <c r="N8" s="4">
        <v>48</v>
      </c>
      <c r="O8" s="25">
        <v>4890000</v>
      </c>
      <c r="P8" s="15">
        <v>2.78</v>
      </c>
      <c r="Q8" s="43">
        <v>1.0000000000000001E-9</v>
      </c>
      <c r="R8" s="46">
        <v>5.0000000000000001E-4</v>
      </c>
      <c r="S8" s="37">
        <v>9.9299999999999999E-2</v>
      </c>
      <c r="T8" s="37">
        <v>15.83</v>
      </c>
      <c r="U8" s="21">
        <v>22.43</v>
      </c>
      <c r="V8" s="21" t="s">
        <v>419</v>
      </c>
      <c r="W8" s="21" t="s">
        <v>421</v>
      </c>
    </row>
    <row r="9" spans="1:23" x14ac:dyDescent="0.25">
      <c r="A9" s="6" t="s">
        <v>319</v>
      </c>
      <c r="B9" s="4" t="s">
        <v>284</v>
      </c>
      <c r="C9" s="4" t="s">
        <v>186</v>
      </c>
      <c r="D9" s="4" t="s">
        <v>326</v>
      </c>
      <c r="E9" s="6">
        <v>65</v>
      </c>
      <c r="F9" s="4">
        <v>100</v>
      </c>
      <c r="G9" s="4">
        <v>600</v>
      </c>
      <c r="H9" s="4">
        <v>400</v>
      </c>
      <c r="I9" s="4">
        <v>10</v>
      </c>
      <c r="J9" s="22">
        <v>15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>
        <v>1.0000000000000001E-9</v>
      </c>
      <c r="R9" s="46">
        <v>5.0000000000000001E-4</v>
      </c>
      <c r="S9" s="37">
        <v>6.6199999999999995E-2</v>
      </c>
      <c r="T9" s="37">
        <v>24.76</v>
      </c>
      <c r="U9" s="21">
        <v>34.47</v>
      </c>
      <c r="V9" s="21" t="s">
        <v>420</v>
      </c>
      <c r="W9" s="21" t="s">
        <v>422</v>
      </c>
    </row>
    <row r="10" spans="1:23" x14ac:dyDescent="0.25">
      <c r="A10" s="6"/>
      <c r="B10" s="4"/>
      <c r="C10" s="4"/>
      <c r="D10" s="4"/>
      <c r="E10" s="6"/>
      <c r="F10" s="4"/>
      <c r="G10" s="4"/>
      <c r="H10" s="21"/>
      <c r="I10" s="21"/>
      <c r="J10" s="22"/>
      <c r="K10" s="22"/>
      <c r="L10" s="22"/>
      <c r="M10" s="22"/>
      <c r="N10" s="4"/>
      <c r="O10" s="25"/>
      <c r="P10" s="15"/>
      <c r="Q10" s="35"/>
      <c r="R10" s="15"/>
      <c r="S10" s="37"/>
      <c r="T10" s="37"/>
      <c r="U10" s="21"/>
      <c r="V10" s="21"/>
      <c r="W10" s="21"/>
    </row>
    <row r="11" spans="1:23" x14ac:dyDescent="0.25">
      <c r="A11" s="6" t="s">
        <v>329</v>
      </c>
      <c r="B11" s="4" t="s">
        <v>284</v>
      </c>
      <c r="C11" s="4" t="s">
        <v>186</v>
      </c>
      <c r="D11" s="4" t="s">
        <v>326</v>
      </c>
      <c r="E11" s="6">
        <v>65</v>
      </c>
      <c r="F11" s="4">
        <v>100</v>
      </c>
      <c r="G11" s="4">
        <v>600</v>
      </c>
      <c r="H11" s="4">
        <v>400</v>
      </c>
      <c r="I11" s="4">
        <v>10</v>
      </c>
      <c r="J11" s="22">
        <v>15</v>
      </c>
      <c r="K11" s="30">
        <v>1.0000000000000001E-5</v>
      </c>
      <c r="L11" s="30">
        <v>5.9999999999999995E-8</v>
      </c>
      <c r="M11" s="51">
        <v>0.01</v>
      </c>
      <c r="N11" s="4">
        <v>48</v>
      </c>
      <c r="O11" s="25">
        <v>4890000</v>
      </c>
      <c r="P11" s="15">
        <v>2.78</v>
      </c>
      <c r="Q11" s="43">
        <v>1.0000000000000001E-9</v>
      </c>
      <c r="R11" s="46">
        <v>1.5E-3</v>
      </c>
      <c r="S11" s="37">
        <v>0.64600000000000002</v>
      </c>
      <c r="T11" s="37">
        <v>2.67</v>
      </c>
      <c r="U11" s="21"/>
      <c r="V11" s="21" t="s">
        <v>335</v>
      </c>
      <c r="W11" s="21"/>
    </row>
    <row r="12" spans="1:23" x14ac:dyDescent="0.25">
      <c r="A12" s="6" t="s">
        <v>330</v>
      </c>
      <c r="B12" s="4" t="s">
        <v>284</v>
      </c>
      <c r="C12" s="4" t="s">
        <v>186</v>
      </c>
      <c r="D12" s="4" t="s">
        <v>326</v>
      </c>
      <c r="E12" s="6">
        <v>65</v>
      </c>
      <c r="F12" s="4">
        <v>100</v>
      </c>
      <c r="G12" s="4">
        <v>600</v>
      </c>
      <c r="H12" s="4">
        <v>400</v>
      </c>
      <c r="I12" s="4">
        <v>10</v>
      </c>
      <c r="J12" s="22">
        <v>15</v>
      </c>
      <c r="K12" s="30">
        <v>1.0000000000000001E-5</v>
      </c>
      <c r="L12" s="30">
        <v>5.9999999999999995E-8</v>
      </c>
      <c r="M12" s="51">
        <v>0.1</v>
      </c>
      <c r="N12" s="4">
        <v>48</v>
      </c>
      <c r="O12" s="25">
        <v>4890000</v>
      </c>
      <c r="P12" s="15">
        <v>2.78</v>
      </c>
      <c r="Q12" s="43">
        <v>1.0000000000000001E-9</v>
      </c>
      <c r="R12" s="46">
        <v>1E-3</v>
      </c>
      <c r="S12" s="37">
        <v>0.28699999999999998</v>
      </c>
      <c r="T12" s="37">
        <v>3.24</v>
      </c>
      <c r="U12" s="21"/>
      <c r="V12" s="21" t="s">
        <v>336</v>
      </c>
      <c r="W12" s="21"/>
    </row>
    <row r="13" spans="1:23" x14ac:dyDescent="0.25">
      <c r="A13" s="6" t="s">
        <v>331</v>
      </c>
      <c r="B13" s="4" t="s">
        <v>284</v>
      </c>
      <c r="C13" s="4" t="s">
        <v>186</v>
      </c>
      <c r="D13" s="4" t="s">
        <v>326</v>
      </c>
      <c r="E13" s="6">
        <v>65</v>
      </c>
      <c r="F13" s="4">
        <v>100</v>
      </c>
      <c r="G13" s="4">
        <v>600</v>
      </c>
      <c r="H13" s="4">
        <v>400</v>
      </c>
      <c r="I13" s="4">
        <v>10</v>
      </c>
      <c r="J13" s="22">
        <v>15</v>
      </c>
      <c r="K13" s="30">
        <v>1.0000000000000001E-5</v>
      </c>
      <c r="L13" s="30">
        <v>5.9999999999999995E-8</v>
      </c>
      <c r="M13" s="51">
        <v>0.5</v>
      </c>
      <c r="N13" s="4">
        <v>48</v>
      </c>
      <c r="O13" s="25">
        <v>4890000</v>
      </c>
      <c r="P13" s="15">
        <v>2.78</v>
      </c>
      <c r="Q13" s="43">
        <v>1.0000000000000001E-9</v>
      </c>
      <c r="R13" s="46">
        <v>5.0000000000000001E-4</v>
      </c>
      <c r="S13" s="37">
        <v>0.188</v>
      </c>
      <c r="T13" s="37">
        <v>6.69</v>
      </c>
      <c r="U13" s="21"/>
      <c r="V13" s="21" t="s">
        <v>336</v>
      </c>
      <c r="W13" s="21"/>
    </row>
    <row r="14" spans="1:23" x14ac:dyDescent="0.25">
      <c r="A14" s="6" t="s">
        <v>332</v>
      </c>
      <c r="B14" s="4" t="s">
        <v>284</v>
      </c>
      <c r="C14" s="4" t="s">
        <v>186</v>
      </c>
      <c r="D14" s="4" t="s">
        <v>326</v>
      </c>
      <c r="E14" s="6">
        <v>65</v>
      </c>
      <c r="F14" s="4">
        <v>100</v>
      </c>
      <c r="G14" s="4">
        <v>600</v>
      </c>
      <c r="H14" s="4">
        <v>400</v>
      </c>
      <c r="I14" s="4">
        <v>10</v>
      </c>
      <c r="J14" s="22">
        <v>15</v>
      </c>
      <c r="K14" s="30">
        <v>1.0000000000000001E-5</v>
      </c>
      <c r="L14" s="30">
        <v>5.9999999999999995E-8</v>
      </c>
      <c r="M14" s="51">
        <v>0.75</v>
      </c>
      <c r="N14" s="4">
        <v>48</v>
      </c>
      <c r="O14" s="25">
        <v>4890000</v>
      </c>
      <c r="P14" s="15">
        <v>2.78</v>
      </c>
      <c r="Q14" s="43">
        <v>1.0000000000000001E-9</v>
      </c>
      <c r="R14" s="46">
        <v>5.0000000000000001E-4</v>
      </c>
      <c r="S14" s="37">
        <v>0.10100000000000001</v>
      </c>
      <c r="T14" s="37">
        <v>9.3699999999999992</v>
      </c>
      <c r="U14" s="21"/>
      <c r="V14" s="21" t="s">
        <v>337</v>
      </c>
      <c r="W14" s="21"/>
    </row>
    <row r="15" spans="1:23" x14ac:dyDescent="0.25">
      <c r="A15" s="6" t="s">
        <v>333</v>
      </c>
      <c r="B15" s="4" t="s">
        <v>284</v>
      </c>
      <c r="C15" s="4" t="s">
        <v>186</v>
      </c>
      <c r="D15" s="4" t="s">
        <v>326</v>
      </c>
      <c r="E15" s="6">
        <v>65</v>
      </c>
      <c r="F15" s="4">
        <v>100</v>
      </c>
      <c r="G15" s="4">
        <v>600</v>
      </c>
      <c r="H15" s="4">
        <v>400</v>
      </c>
      <c r="I15" s="4">
        <v>10</v>
      </c>
      <c r="J15" s="22">
        <v>15</v>
      </c>
      <c r="K15" s="30">
        <v>1.0000000000000001E-5</v>
      </c>
      <c r="L15" s="30">
        <v>5.9999999999999995E-8</v>
      </c>
      <c r="M15" s="51">
        <v>0.9</v>
      </c>
      <c r="N15" s="4">
        <v>48</v>
      </c>
      <c r="O15" s="25">
        <v>4890000</v>
      </c>
      <c r="P15" s="15">
        <v>2.78</v>
      </c>
      <c r="Q15" s="43">
        <v>1.0000000000000001E-9</v>
      </c>
      <c r="R15" s="46">
        <v>5.0000000000000001E-4</v>
      </c>
      <c r="S15" s="37">
        <v>6.6000000000000003E-2</v>
      </c>
      <c r="T15" s="37">
        <v>13.78</v>
      </c>
      <c r="U15" s="21"/>
      <c r="V15" s="21" t="s">
        <v>338</v>
      </c>
      <c r="W15" s="21"/>
    </row>
    <row r="16" spans="1:23" x14ac:dyDescent="0.25">
      <c r="A16" s="6"/>
      <c r="B16" s="4"/>
      <c r="C16" s="4"/>
      <c r="D16" s="4"/>
      <c r="E16" s="6"/>
      <c r="F16" s="4"/>
      <c r="G16" s="4"/>
      <c r="H16" s="4"/>
      <c r="I16" s="21"/>
      <c r="J16" s="21"/>
      <c r="K16" s="21"/>
      <c r="L16" s="21"/>
      <c r="M16" s="21"/>
      <c r="N16" s="4"/>
      <c r="O16" s="23"/>
      <c r="P16" s="6"/>
      <c r="Q16" s="4"/>
      <c r="R16" s="6"/>
      <c r="S16" s="33"/>
      <c r="T16" s="33"/>
      <c r="U16" s="4"/>
      <c r="V16" s="21"/>
      <c r="W16" s="21"/>
    </row>
    <row r="17" spans="1:23" x14ac:dyDescent="0.25">
      <c r="A17" s="6" t="s">
        <v>339</v>
      </c>
      <c r="B17" s="4" t="s">
        <v>284</v>
      </c>
      <c r="C17" s="4" t="s">
        <v>186</v>
      </c>
      <c r="D17" s="4" t="s">
        <v>326</v>
      </c>
      <c r="E17" s="6">
        <v>65</v>
      </c>
      <c r="F17" s="4">
        <v>100</v>
      </c>
      <c r="G17" s="4">
        <v>600</v>
      </c>
      <c r="H17" s="4">
        <v>400</v>
      </c>
      <c r="I17" s="4">
        <v>10</v>
      </c>
      <c r="J17" s="22">
        <v>15</v>
      </c>
      <c r="K17" s="30">
        <v>1.0000000000000001E-5</v>
      </c>
      <c r="L17" s="30">
        <v>9.9999999999999995E-7</v>
      </c>
      <c r="M17" s="51">
        <v>0.01</v>
      </c>
      <c r="N17" s="4">
        <v>48</v>
      </c>
      <c r="O17" s="25">
        <v>4890000</v>
      </c>
      <c r="P17" s="15">
        <v>2.78</v>
      </c>
      <c r="Q17" s="43">
        <v>1.0000000000000001E-9</v>
      </c>
      <c r="R17" s="46">
        <v>1.5E-3</v>
      </c>
      <c r="S17" s="28">
        <v>0.29199999999999998</v>
      </c>
      <c r="T17" s="28">
        <v>11.56</v>
      </c>
      <c r="U17">
        <v>4.6900000000000004</v>
      </c>
      <c r="V17" t="s">
        <v>334</v>
      </c>
      <c r="W17" t="s">
        <v>407</v>
      </c>
    </row>
    <row r="18" spans="1:23" x14ac:dyDescent="0.25">
      <c r="A18" s="6" t="s">
        <v>340</v>
      </c>
      <c r="B18" s="4" t="s">
        <v>284</v>
      </c>
      <c r="C18" s="4" t="s">
        <v>186</v>
      </c>
      <c r="D18" s="4" t="s">
        <v>326</v>
      </c>
      <c r="E18" s="6">
        <v>65</v>
      </c>
      <c r="F18" s="4">
        <v>100</v>
      </c>
      <c r="G18" s="4">
        <v>600</v>
      </c>
      <c r="H18" s="4">
        <v>400</v>
      </c>
      <c r="I18" s="4">
        <v>10</v>
      </c>
      <c r="J18" s="22">
        <v>15</v>
      </c>
      <c r="K18" s="30">
        <v>1.0000000000000001E-5</v>
      </c>
      <c r="L18" s="30">
        <v>9.9999999999999995E-7</v>
      </c>
      <c r="M18" s="51">
        <v>0.1</v>
      </c>
      <c r="N18" s="4">
        <v>48</v>
      </c>
      <c r="O18" s="25">
        <v>4890000</v>
      </c>
      <c r="P18" s="15">
        <v>2.78</v>
      </c>
      <c r="Q18" s="43">
        <v>1.0000000000000001E-9</v>
      </c>
      <c r="R18" s="46">
        <v>1E-3</v>
      </c>
      <c r="S18" s="28">
        <v>0.22</v>
      </c>
      <c r="T18" s="28">
        <v>7.17</v>
      </c>
      <c r="U18">
        <v>7.38</v>
      </c>
      <c r="V18" t="s">
        <v>408</v>
      </c>
      <c r="W18" t="s">
        <v>409</v>
      </c>
    </row>
    <row r="19" spans="1:23" x14ac:dyDescent="0.25">
      <c r="A19" s="6" t="s">
        <v>341</v>
      </c>
      <c r="B19" s="4" t="s">
        <v>284</v>
      </c>
      <c r="C19" s="4" t="s">
        <v>186</v>
      </c>
      <c r="D19" s="4" t="s">
        <v>326</v>
      </c>
      <c r="E19" s="6">
        <v>65</v>
      </c>
      <c r="F19" s="4">
        <v>100</v>
      </c>
      <c r="G19" s="4">
        <v>600</v>
      </c>
      <c r="H19" s="4">
        <v>400</v>
      </c>
      <c r="I19" s="4">
        <v>10</v>
      </c>
      <c r="J19" s="22">
        <v>15</v>
      </c>
      <c r="K19" s="30">
        <v>1.0000000000000001E-5</v>
      </c>
      <c r="L19" s="30">
        <v>9.9999999999999995E-7</v>
      </c>
      <c r="M19" s="51">
        <v>0.5</v>
      </c>
      <c r="N19" s="4">
        <v>48</v>
      </c>
      <c r="O19" s="25">
        <v>4890000</v>
      </c>
      <c r="P19" s="15">
        <v>2.78</v>
      </c>
      <c r="Q19" s="43">
        <v>1.0000000000000001E-9</v>
      </c>
      <c r="R19" s="46">
        <v>5.0000000000000001E-4</v>
      </c>
      <c r="S19" s="28">
        <v>0.14899999999999999</v>
      </c>
      <c r="T19" s="28">
        <v>22.63</v>
      </c>
      <c r="U19">
        <v>33.630000000000003</v>
      </c>
      <c r="V19" t="s">
        <v>410</v>
      </c>
      <c r="W19" t="s">
        <v>411</v>
      </c>
    </row>
    <row r="20" spans="1:23" x14ac:dyDescent="0.25">
      <c r="A20" s="6" t="s">
        <v>342</v>
      </c>
      <c r="B20" s="4" t="s">
        <v>284</v>
      </c>
      <c r="C20" s="4" t="s">
        <v>186</v>
      </c>
      <c r="D20" s="4" t="s">
        <v>326</v>
      </c>
      <c r="E20" s="6">
        <v>65</v>
      </c>
      <c r="F20" s="4">
        <v>100</v>
      </c>
      <c r="G20" s="4">
        <v>600</v>
      </c>
      <c r="H20" s="4">
        <v>400</v>
      </c>
      <c r="I20" s="4">
        <v>10</v>
      </c>
      <c r="J20" s="22">
        <v>15</v>
      </c>
      <c r="K20" s="30">
        <v>1.0000000000000001E-5</v>
      </c>
      <c r="L20" s="30">
        <v>9.9999999999999995E-7</v>
      </c>
      <c r="M20" s="51">
        <v>0.75</v>
      </c>
      <c r="N20" s="4">
        <v>48</v>
      </c>
      <c r="O20" s="25">
        <v>4890000</v>
      </c>
      <c r="P20" s="15">
        <v>2.78</v>
      </c>
      <c r="Q20" s="43">
        <v>1.0000000000000001E-9</v>
      </c>
      <c r="R20" s="46">
        <v>5.0000000000000001E-4</v>
      </c>
      <c r="S20" s="28">
        <v>9.9000000000000005E-2</v>
      </c>
      <c r="T20" s="28">
        <v>26.65</v>
      </c>
      <c r="U20">
        <v>35.44</v>
      </c>
      <c r="V20" t="s">
        <v>328</v>
      </c>
      <c r="W20" t="s">
        <v>412</v>
      </c>
    </row>
    <row r="21" spans="1:23" x14ac:dyDescent="0.25">
      <c r="A21" s="6" t="s">
        <v>343</v>
      </c>
      <c r="B21" s="4" t="s">
        <v>284</v>
      </c>
      <c r="C21" s="4" t="s">
        <v>186</v>
      </c>
      <c r="D21" s="4" t="s">
        <v>326</v>
      </c>
      <c r="E21" s="6">
        <v>65</v>
      </c>
      <c r="F21" s="4">
        <v>100</v>
      </c>
      <c r="G21" s="4">
        <v>600</v>
      </c>
      <c r="H21" s="4">
        <v>400</v>
      </c>
      <c r="I21" s="4">
        <v>10</v>
      </c>
      <c r="J21" s="22">
        <v>15</v>
      </c>
      <c r="K21" s="30">
        <v>1.0000000000000001E-5</v>
      </c>
      <c r="L21" s="30">
        <v>9.9999999999999995E-7</v>
      </c>
      <c r="M21" s="51">
        <v>0.9</v>
      </c>
      <c r="N21" s="4">
        <v>48</v>
      </c>
      <c r="O21" s="25">
        <v>4890000</v>
      </c>
      <c r="P21" s="15">
        <v>2.78</v>
      </c>
      <c r="Q21" s="43">
        <v>1.0000000000000001E-9</v>
      </c>
      <c r="R21" s="46">
        <v>5.0000000000000001E-4</v>
      </c>
      <c r="S21" s="28">
        <v>6.5000000000000002E-2</v>
      </c>
      <c r="T21" s="28">
        <v>80.36</v>
      </c>
      <c r="U21">
        <v>105.18</v>
      </c>
      <c r="V21" t="s">
        <v>344</v>
      </c>
      <c r="W21" t="s">
        <v>413</v>
      </c>
    </row>
    <row r="22" spans="1:23" x14ac:dyDescent="0.25">
      <c r="A22" s="4"/>
      <c r="B22" s="4"/>
      <c r="C22" s="4"/>
      <c r="D22" s="4"/>
      <c r="E22" s="4"/>
      <c r="F22" s="4"/>
      <c r="G22" s="4"/>
      <c r="H22" s="4"/>
      <c r="I22" s="4"/>
      <c r="J22" s="22"/>
      <c r="K22" s="30"/>
      <c r="L22" s="30"/>
      <c r="M22" s="51"/>
      <c r="N22" s="4"/>
      <c r="O22" s="25"/>
      <c r="P22" s="35"/>
      <c r="Q22" s="43"/>
      <c r="R22" s="46"/>
    </row>
    <row r="23" spans="1:23" x14ac:dyDescent="0.25">
      <c r="A23" s="4" t="s">
        <v>371</v>
      </c>
      <c r="B23" s="4" t="s">
        <v>284</v>
      </c>
      <c r="C23" s="4" t="s">
        <v>186</v>
      </c>
      <c r="D23" s="4" t="s">
        <v>326</v>
      </c>
      <c r="E23" s="6">
        <v>65</v>
      </c>
      <c r="F23" s="4">
        <v>100</v>
      </c>
      <c r="G23" s="4">
        <v>600</v>
      </c>
      <c r="H23" s="4">
        <v>400</v>
      </c>
      <c r="I23" s="4">
        <v>10</v>
      </c>
      <c r="J23" s="22">
        <v>15</v>
      </c>
      <c r="K23" s="30">
        <v>1.0000000000000001E-5</v>
      </c>
      <c r="L23" s="30">
        <v>1.5E-6</v>
      </c>
      <c r="M23" s="51">
        <v>0.9</v>
      </c>
      <c r="N23" s="4">
        <v>48</v>
      </c>
      <c r="O23" s="25">
        <v>4890000</v>
      </c>
      <c r="P23" s="15">
        <v>2.78</v>
      </c>
      <c r="Q23" s="43">
        <v>1.0000000000000001E-9</v>
      </c>
      <c r="R23" s="46">
        <v>5.0000000000000001E-4</v>
      </c>
      <c r="S23">
        <v>6.5000000000000002E-2</v>
      </c>
      <c r="T23">
        <v>31.33</v>
      </c>
      <c r="U23">
        <v>39.26</v>
      </c>
      <c r="V23" t="s">
        <v>334</v>
      </c>
      <c r="W23" t="s">
        <v>372</v>
      </c>
    </row>
    <row r="25" spans="1:23" x14ac:dyDescent="0.25">
      <c r="A25" s="27" t="s">
        <v>347</v>
      </c>
    </row>
    <row r="26" spans="1:23" x14ac:dyDescent="0.25">
      <c r="A26" s="6" t="s">
        <v>319</v>
      </c>
      <c r="B26" s="4" t="s">
        <v>284</v>
      </c>
      <c r="C26" s="4" t="s">
        <v>186</v>
      </c>
      <c r="D26" s="4" t="s">
        <v>326</v>
      </c>
      <c r="E26" s="6" t="s">
        <v>348</v>
      </c>
      <c r="F26" s="4">
        <v>100</v>
      </c>
      <c r="G26" s="4">
        <v>600</v>
      </c>
      <c r="H26" s="4">
        <v>400</v>
      </c>
      <c r="I26" s="4">
        <v>10</v>
      </c>
      <c r="J26" s="22">
        <v>15</v>
      </c>
      <c r="K26" s="30">
        <v>1.0000000000000001E-5</v>
      </c>
      <c r="L26" s="30">
        <v>4.0000000000000001E-8</v>
      </c>
      <c r="M26" s="51">
        <v>0.9</v>
      </c>
      <c r="N26" s="4">
        <v>48</v>
      </c>
      <c r="O26" s="25">
        <v>4890000</v>
      </c>
      <c r="P26" s="15">
        <v>2.78</v>
      </c>
      <c r="Q26" s="43">
        <v>1.0000000000000001E-9</v>
      </c>
      <c r="R26" s="46">
        <v>5.0000000000000001E-4</v>
      </c>
      <c r="S26">
        <v>4.1999999999999997E-3</v>
      </c>
      <c r="T26">
        <v>0.52</v>
      </c>
      <c r="V26" t="s">
        <v>349</v>
      </c>
      <c r="W26" t="s">
        <v>350</v>
      </c>
    </row>
    <row r="27" spans="1:23" x14ac:dyDescent="0.25">
      <c r="A27" s="6" t="s">
        <v>361</v>
      </c>
      <c r="B27" s="4"/>
      <c r="C27" s="4"/>
      <c r="D27" s="4"/>
      <c r="E27" s="6"/>
      <c r="F27" s="4"/>
      <c r="G27" s="4"/>
      <c r="H27" s="4"/>
      <c r="I27" s="4"/>
      <c r="J27" s="22"/>
      <c r="K27" s="30"/>
      <c r="L27" s="30"/>
      <c r="M27" s="51"/>
      <c r="N27" s="4"/>
      <c r="O27" s="25"/>
      <c r="P27" s="15"/>
      <c r="Q27" s="43"/>
      <c r="R27" s="46"/>
      <c r="S27">
        <v>4.1999999999999997E-3</v>
      </c>
      <c r="T27">
        <v>0.52</v>
      </c>
      <c r="V27" t="s">
        <v>363</v>
      </c>
      <c r="W27" t="s">
        <v>362</v>
      </c>
    </row>
    <row r="28" spans="1:23" x14ac:dyDescent="0.25">
      <c r="A28" s="6" t="s">
        <v>333</v>
      </c>
      <c r="B28" s="4" t="s">
        <v>284</v>
      </c>
      <c r="C28" s="4" t="s">
        <v>186</v>
      </c>
      <c r="D28" s="4" t="s">
        <v>326</v>
      </c>
      <c r="E28" s="6" t="s">
        <v>348</v>
      </c>
      <c r="F28" s="4">
        <v>100</v>
      </c>
      <c r="G28" s="4">
        <v>600</v>
      </c>
      <c r="H28" s="4">
        <v>400</v>
      </c>
      <c r="I28" s="4">
        <v>10</v>
      </c>
      <c r="J28" s="22">
        <v>15</v>
      </c>
      <c r="K28" s="30">
        <v>1.0000000000000001E-5</v>
      </c>
      <c r="L28" s="30">
        <v>5.9999999999999995E-8</v>
      </c>
      <c r="M28" s="51">
        <v>0.9</v>
      </c>
      <c r="N28" s="4">
        <v>48</v>
      </c>
      <c r="O28" s="25">
        <v>4890000</v>
      </c>
      <c r="P28" s="15">
        <v>2.78</v>
      </c>
      <c r="Q28" s="43">
        <v>1.0000000000000001E-9</v>
      </c>
      <c r="R28" s="46">
        <v>5.0000000000000001E-4</v>
      </c>
      <c r="S28">
        <v>4.1999999999999997E-3</v>
      </c>
      <c r="T28">
        <v>0.22</v>
      </c>
      <c r="V28" t="s">
        <v>351</v>
      </c>
    </row>
    <row r="30" spans="1:23" x14ac:dyDescent="0.25">
      <c r="A30" s="27" t="s">
        <v>352</v>
      </c>
    </row>
    <row r="31" spans="1:23" x14ac:dyDescent="0.25">
      <c r="A31" t="s">
        <v>319</v>
      </c>
      <c r="B31" s="4" t="s">
        <v>284</v>
      </c>
      <c r="C31" s="4" t="s">
        <v>186</v>
      </c>
      <c r="D31" s="4" t="s">
        <v>353</v>
      </c>
      <c r="E31" s="6">
        <v>65</v>
      </c>
      <c r="F31" s="4">
        <v>100</v>
      </c>
      <c r="G31" s="4">
        <v>600</v>
      </c>
      <c r="H31" s="4">
        <v>400</v>
      </c>
      <c r="I31" s="4">
        <v>10</v>
      </c>
      <c r="J31" s="22">
        <v>15</v>
      </c>
      <c r="K31" s="30">
        <v>1.0000000000000001E-5</v>
      </c>
      <c r="L31" s="30">
        <v>4.0000000000000001E-8</v>
      </c>
      <c r="M31" s="51">
        <v>0.9</v>
      </c>
      <c r="N31" s="4">
        <v>48</v>
      </c>
      <c r="O31" s="25">
        <v>4890000</v>
      </c>
      <c r="P31" s="15">
        <v>2.78</v>
      </c>
      <c r="Q31" s="43">
        <v>1.0000000000000001E-9</v>
      </c>
      <c r="R31" s="46">
        <v>5.0000000000000001E-4</v>
      </c>
      <c r="S31">
        <v>6.8000000000000005E-2</v>
      </c>
      <c r="T31">
        <v>8.7200000000000006</v>
      </c>
      <c r="V31" t="s">
        <v>354</v>
      </c>
    </row>
    <row r="33" spans="1:23" x14ac:dyDescent="0.25">
      <c r="A33" s="27" t="s">
        <v>355</v>
      </c>
    </row>
    <row r="34" spans="1:23" x14ac:dyDescent="0.25">
      <c r="A34" t="s">
        <v>319</v>
      </c>
      <c r="B34" s="4" t="s">
        <v>284</v>
      </c>
      <c r="C34" s="4" t="s">
        <v>186</v>
      </c>
      <c r="D34" s="4" t="s">
        <v>356</v>
      </c>
      <c r="E34" s="6">
        <v>65</v>
      </c>
      <c r="F34" s="4">
        <v>100</v>
      </c>
      <c r="G34" s="4">
        <v>600</v>
      </c>
      <c r="H34" s="4">
        <v>400</v>
      </c>
      <c r="I34" s="4">
        <v>10</v>
      </c>
      <c r="J34" s="22">
        <v>15</v>
      </c>
      <c r="K34" s="30">
        <v>1.0000000000000001E-5</v>
      </c>
      <c r="L34" s="30">
        <v>4.0000000000000001E-8</v>
      </c>
      <c r="M34" s="51">
        <v>0.9</v>
      </c>
      <c r="N34" s="4">
        <v>48</v>
      </c>
      <c r="O34" s="25">
        <v>4890000</v>
      </c>
      <c r="P34" s="15">
        <v>2.78</v>
      </c>
      <c r="Q34" s="43">
        <v>1.0000000000000001E-9</v>
      </c>
      <c r="R34" s="46">
        <v>5.0000000000000001E-4</v>
      </c>
      <c r="S34">
        <v>6.5000000000000002E-2</v>
      </c>
      <c r="T34">
        <v>11.4</v>
      </c>
      <c r="V34" t="s">
        <v>360</v>
      </c>
      <c r="W34" t="s">
        <v>357</v>
      </c>
    </row>
    <row r="36" spans="1:23" x14ac:dyDescent="0.25">
      <c r="A36" s="27" t="s">
        <v>358</v>
      </c>
    </row>
    <row r="37" spans="1:23" x14ac:dyDescent="0.25">
      <c r="A37" t="s">
        <v>319</v>
      </c>
      <c r="B37" s="4" t="s">
        <v>284</v>
      </c>
      <c r="C37" s="4" t="s">
        <v>186</v>
      </c>
      <c r="D37" s="4" t="s">
        <v>359</v>
      </c>
      <c r="E37" s="6">
        <v>65</v>
      </c>
      <c r="F37" s="4">
        <v>100</v>
      </c>
      <c r="G37" s="4">
        <v>600</v>
      </c>
      <c r="H37" s="4">
        <v>400</v>
      </c>
      <c r="I37" s="4">
        <v>10</v>
      </c>
      <c r="J37" s="22">
        <v>15</v>
      </c>
      <c r="K37" s="30">
        <v>1.0000000000000001E-5</v>
      </c>
      <c r="L37" s="30">
        <v>4.0000000000000001E-8</v>
      </c>
      <c r="M37" s="51">
        <v>0.9</v>
      </c>
      <c r="N37" s="4">
        <v>48</v>
      </c>
      <c r="O37" s="25">
        <v>4890000</v>
      </c>
      <c r="P37" s="15">
        <v>2.78</v>
      </c>
      <c r="Q37" s="43">
        <v>1.0000000000000001E-9</v>
      </c>
      <c r="R37" s="46">
        <v>5.0000000000000001E-4</v>
      </c>
      <c r="S37">
        <v>5.7000000000000002E-2</v>
      </c>
      <c r="T37">
        <v>12.98</v>
      </c>
      <c r="V37" t="s">
        <v>327</v>
      </c>
      <c r="W37" t="s">
        <v>369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nWaveData">
                <anchor moveWithCells="1" sizeWithCells="1">
                  <from>
                    <xdr:col>19</xdr:col>
                    <xdr:colOff>590550</xdr:colOff>
                    <xdr:row>0</xdr:row>
                    <xdr:rowOff>19050</xdr:rowOff>
                  </from>
                  <to>
                    <xdr:col>21</xdr:col>
                    <xdr:colOff>76200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68B-3744-4C31-902D-5B6E8133C9BD}">
  <sheetPr codeName="Sheet5"/>
  <dimension ref="A1:BA101"/>
  <sheetViews>
    <sheetView topLeftCell="A71" workbookViewId="0">
      <selection activeCell="A78" sqref="A78"/>
    </sheetView>
  </sheetViews>
  <sheetFormatPr defaultRowHeight="15" x14ac:dyDescent="0.25"/>
  <cols>
    <col min="12" max="12" width="14.140625" bestFit="1" customWidth="1"/>
  </cols>
  <sheetData>
    <row r="1" spans="1:1" ht="23.25" x14ac:dyDescent="0.35">
      <c r="A1" s="56" t="s">
        <v>391</v>
      </c>
    </row>
    <row r="21" spans="21:21" x14ac:dyDescent="0.25">
      <c r="U21" t="s">
        <v>143</v>
      </c>
    </row>
    <row r="41" spans="1:13" ht="23.25" x14ac:dyDescent="0.35">
      <c r="A41" s="56" t="s">
        <v>383</v>
      </c>
      <c r="I41" s="56" t="s">
        <v>394</v>
      </c>
    </row>
    <row r="43" spans="1:13" x14ac:dyDescent="0.25">
      <c r="A43" t="s">
        <v>384</v>
      </c>
      <c r="B43" t="s">
        <v>385</v>
      </c>
      <c r="C43" t="s">
        <v>388</v>
      </c>
      <c r="D43" t="s">
        <v>174</v>
      </c>
      <c r="E43" t="s">
        <v>423</v>
      </c>
      <c r="F43" t="s">
        <v>424</v>
      </c>
      <c r="H43" t="s">
        <v>397</v>
      </c>
      <c r="I43" t="s">
        <v>388</v>
      </c>
      <c r="J43" t="s">
        <v>174</v>
      </c>
      <c r="K43" t="s">
        <v>386</v>
      </c>
      <c r="L43" t="s">
        <v>395</v>
      </c>
      <c r="M43" t="s">
        <v>398</v>
      </c>
    </row>
    <row r="44" spans="1:13" x14ac:dyDescent="0.25">
      <c r="A44" t="s">
        <v>387</v>
      </c>
      <c r="B44" s="51">
        <v>0.01</v>
      </c>
      <c r="C44">
        <f>1-B44</f>
        <v>0.99</v>
      </c>
      <c r="D44" s="37">
        <v>0.51</v>
      </c>
      <c r="E44" s="37">
        <v>2.88</v>
      </c>
      <c r="F44">
        <v>3.24</v>
      </c>
      <c r="H44">
        <v>1</v>
      </c>
      <c r="I44">
        <v>0.13</v>
      </c>
      <c r="J44">
        <v>1.2</v>
      </c>
      <c r="K44">
        <v>30</v>
      </c>
      <c r="L44" t="s">
        <v>396</v>
      </c>
    </row>
    <row r="45" spans="1:13" x14ac:dyDescent="0.25">
      <c r="B45" s="51">
        <v>0.1</v>
      </c>
      <c r="C45">
        <f t="shared" ref="C45:C58" si="0">1-B45</f>
        <v>0.9</v>
      </c>
      <c r="D45" s="37">
        <v>0.27600000000000002</v>
      </c>
      <c r="E45" s="37">
        <v>3.57</v>
      </c>
      <c r="F45">
        <v>3.7</v>
      </c>
      <c r="H45">
        <v>1</v>
      </c>
      <c r="I45">
        <v>0.3</v>
      </c>
      <c r="J45">
        <v>2.5</v>
      </c>
      <c r="K45">
        <v>8</v>
      </c>
      <c r="L45" t="s">
        <v>396</v>
      </c>
    </row>
    <row r="46" spans="1:13" x14ac:dyDescent="0.25">
      <c r="B46" s="51">
        <v>0.5</v>
      </c>
      <c r="C46">
        <f t="shared" si="0"/>
        <v>0.5</v>
      </c>
      <c r="D46" s="37">
        <v>0.19</v>
      </c>
      <c r="E46" s="37">
        <v>8.94</v>
      </c>
      <c r="F46">
        <v>11.4</v>
      </c>
      <c r="H46">
        <v>1</v>
      </c>
      <c r="I46">
        <v>0.3</v>
      </c>
      <c r="J46">
        <v>2.5</v>
      </c>
      <c r="K46">
        <v>6</v>
      </c>
      <c r="L46" t="s">
        <v>396</v>
      </c>
    </row>
    <row r="47" spans="1:13" x14ac:dyDescent="0.25">
      <c r="B47" s="51">
        <v>0.75</v>
      </c>
      <c r="C47">
        <f t="shared" si="0"/>
        <v>0.25</v>
      </c>
      <c r="D47" s="37">
        <v>9.9299999999999999E-2</v>
      </c>
      <c r="E47" s="37">
        <v>15.83</v>
      </c>
      <c r="F47">
        <v>22.43</v>
      </c>
      <c r="H47">
        <v>1</v>
      </c>
      <c r="I47">
        <v>0.31</v>
      </c>
      <c r="J47">
        <v>2.5</v>
      </c>
      <c r="K47">
        <v>10</v>
      </c>
      <c r="L47" t="s">
        <v>396</v>
      </c>
    </row>
    <row r="48" spans="1:13" x14ac:dyDescent="0.25">
      <c r="B48" s="51">
        <v>0.9</v>
      </c>
      <c r="C48">
        <f t="shared" si="0"/>
        <v>9.9999999999999978E-2</v>
      </c>
      <c r="D48" s="37">
        <v>6.6199999999999995E-2</v>
      </c>
      <c r="E48" s="37">
        <v>24.76</v>
      </c>
      <c r="F48">
        <v>34.47</v>
      </c>
      <c r="H48">
        <v>1</v>
      </c>
      <c r="I48">
        <v>0.57999999999999996</v>
      </c>
      <c r="J48">
        <v>7.2</v>
      </c>
      <c r="K48">
        <v>4</v>
      </c>
      <c r="L48" t="s">
        <v>396</v>
      </c>
    </row>
    <row r="49" spans="1:13" x14ac:dyDescent="0.25">
      <c r="A49" t="s">
        <v>389</v>
      </c>
      <c r="B49" s="51">
        <v>0.01</v>
      </c>
      <c r="C49">
        <f>1-B49</f>
        <v>0.99</v>
      </c>
      <c r="D49" s="37">
        <v>0.64600000000000002</v>
      </c>
      <c r="E49" s="37">
        <v>2.67</v>
      </c>
      <c r="H49">
        <v>1</v>
      </c>
      <c r="I49">
        <v>0.6</v>
      </c>
      <c r="J49">
        <v>6.4</v>
      </c>
      <c r="K49">
        <v>3</v>
      </c>
      <c r="L49" t="s">
        <v>396</v>
      </c>
    </row>
    <row r="50" spans="1:13" x14ac:dyDescent="0.25">
      <c r="A50" t="s">
        <v>425</v>
      </c>
      <c r="B50" s="51">
        <v>0.1</v>
      </c>
      <c r="C50">
        <f t="shared" si="0"/>
        <v>0.9</v>
      </c>
      <c r="D50" s="37">
        <v>0.28699999999999998</v>
      </c>
      <c r="E50" s="37">
        <v>3.24</v>
      </c>
      <c r="H50">
        <v>1</v>
      </c>
      <c r="I50">
        <v>0.6</v>
      </c>
      <c r="J50">
        <v>6.4</v>
      </c>
      <c r="K50">
        <v>7</v>
      </c>
      <c r="L50" t="s">
        <v>396</v>
      </c>
    </row>
    <row r="51" spans="1:13" x14ac:dyDescent="0.25">
      <c r="B51" s="51">
        <v>0.5</v>
      </c>
      <c r="C51">
        <f t="shared" si="0"/>
        <v>0.5</v>
      </c>
      <c r="D51" s="37">
        <v>0.188</v>
      </c>
      <c r="E51" s="37">
        <v>6.69</v>
      </c>
      <c r="H51">
        <v>1.5</v>
      </c>
      <c r="I51">
        <v>0.12</v>
      </c>
      <c r="J51">
        <v>0.2</v>
      </c>
      <c r="K51">
        <v>200</v>
      </c>
      <c r="L51" t="s">
        <v>396</v>
      </c>
    </row>
    <row r="52" spans="1:13" x14ac:dyDescent="0.25">
      <c r="B52" s="51">
        <v>0.75</v>
      </c>
      <c r="C52">
        <f t="shared" si="0"/>
        <v>0.25</v>
      </c>
      <c r="D52" s="37">
        <v>0.10100000000000001</v>
      </c>
      <c r="E52" s="37">
        <v>9.3699999999999992</v>
      </c>
      <c r="H52">
        <v>1.5</v>
      </c>
      <c r="I52">
        <v>0.38</v>
      </c>
      <c r="J52">
        <v>1</v>
      </c>
      <c r="K52">
        <v>20</v>
      </c>
      <c r="L52" t="s">
        <v>396</v>
      </c>
    </row>
    <row r="53" spans="1:13" x14ac:dyDescent="0.25">
      <c r="B53" s="51">
        <v>0.9</v>
      </c>
      <c r="C53">
        <f t="shared" si="0"/>
        <v>9.9999999999999978E-2</v>
      </c>
      <c r="D53" s="37">
        <v>6.6000000000000003E-2</v>
      </c>
      <c r="E53" s="37">
        <v>13.78</v>
      </c>
      <c r="H53">
        <v>1.5</v>
      </c>
      <c r="I53">
        <v>0.4</v>
      </c>
      <c r="J53">
        <v>1.1000000000000001</v>
      </c>
      <c r="K53">
        <v>30</v>
      </c>
      <c r="L53" t="s">
        <v>396</v>
      </c>
    </row>
    <row r="54" spans="1:13" x14ac:dyDescent="0.25">
      <c r="A54" t="s">
        <v>390</v>
      </c>
      <c r="B54" s="51">
        <v>0.01</v>
      </c>
      <c r="C54">
        <f>1-B54</f>
        <v>0.99</v>
      </c>
      <c r="D54" s="28">
        <v>0.29199999999999998</v>
      </c>
      <c r="E54" s="28">
        <v>11.56</v>
      </c>
      <c r="F54">
        <v>4.6900000000000004</v>
      </c>
      <c r="H54">
        <v>1.5</v>
      </c>
      <c r="I54">
        <v>0.5</v>
      </c>
      <c r="J54">
        <v>0.5</v>
      </c>
      <c r="K54">
        <v>20</v>
      </c>
      <c r="L54" t="s">
        <v>396</v>
      </c>
    </row>
    <row r="55" spans="1:13" x14ac:dyDescent="0.25">
      <c r="B55" s="51">
        <v>0.1</v>
      </c>
      <c r="C55">
        <f t="shared" si="0"/>
        <v>0.9</v>
      </c>
      <c r="D55" s="28">
        <v>0.22</v>
      </c>
      <c r="E55" s="28">
        <v>7.17</v>
      </c>
      <c r="F55">
        <v>7.38</v>
      </c>
      <c r="H55">
        <v>1.5</v>
      </c>
      <c r="I55">
        <v>0.57999999999999996</v>
      </c>
      <c r="J55">
        <v>1.1000000000000001</v>
      </c>
      <c r="K55">
        <v>20</v>
      </c>
      <c r="L55" t="s">
        <v>396</v>
      </c>
    </row>
    <row r="56" spans="1:13" x14ac:dyDescent="0.25">
      <c r="B56" s="51">
        <v>0.5</v>
      </c>
      <c r="C56">
        <f t="shared" si="0"/>
        <v>0.5</v>
      </c>
      <c r="D56" s="28">
        <v>0.14899999999999999</v>
      </c>
      <c r="E56" s="28">
        <v>22.63</v>
      </c>
      <c r="F56">
        <v>33.630000000000003</v>
      </c>
      <c r="H56">
        <v>2</v>
      </c>
      <c r="I56">
        <v>0.12</v>
      </c>
      <c r="J56">
        <v>0.1</v>
      </c>
      <c r="K56">
        <v>200</v>
      </c>
      <c r="L56" t="s">
        <v>396</v>
      </c>
    </row>
    <row r="57" spans="1:13" x14ac:dyDescent="0.25">
      <c r="B57" s="51">
        <v>0.75</v>
      </c>
      <c r="C57">
        <f t="shared" si="0"/>
        <v>0.25</v>
      </c>
      <c r="D57" s="28">
        <v>9.9000000000000005E-2</v>
      </c>
      <c r="E57" s="28">
        <v>26.65</v>
      </c>
      <c r="F57">
        <v>35.44</v>
      </c>
      <c r="H57">
        <v>2</v>
      </c>
      <c r="I57">
        <v>0.36</v>
      </c>
      <c r="J57">
        <v>1.1000000000000001</v>
      </c>
      <c r="K57">
        <v>20</v>
      </c>
      <c r="L57" t="s">
        <v>396</v>
      </c>
    </row>
    <row r="58" spans="1:13" x14ac:dyDescent="0.25">
      <c r="B58" s="51">
        <v>0.9</v>
      </c>
      <c r="C58">
        <f t="shared" si="0"/>
        <v>9.9999999999999978E-2</v>
      </c>
      <c r="D58" s="28">
        <v>6.5000000000000002E-2</v>
      </c>
      <c r="E58" s="28">
        <v>80.36</v>
      </c>
      <c r="F58">
        <v>105.18</v>
      </c>
      <c r="H58">
        <v>2</v>
      </c>
      <c r="I58">
        <v>0.5</v>
      </c>
      <c r="J58">
        <v>1.8</v>
      </c>
      <c r="K58">
        <v>7</v>
      </c>
      <c r="L58" t="s">
        <v>396</v>
      </c>
    </row>
    <row r="59" spans="1:13" x14ac:dyDescent="0.25">
      <c r="A59" t="s">
        <v>426</v>
      </c>
      <c r="H59">
        <v>2</v>
      </c>
      <c r="I59">
        <v>0.53</v>
      </c>
      <c r="J59">
        <v>1.8</v>
      </c>
      <c r="K59">
        <v>40</v>
      </c>
      <c r="L59" t="s">
        <v>396</v>
      </c>
    </row>
    <row r="60" spans="1:13" x14ac:dyDescent="0.25">
      <c r="H60">
        <v>2</v>
      </c>
      <c r="I60">
        <v>0.59</v>
      </c>
      <c r="J60">
        <v>1.1000000000000001</v>
      </c>
      <c r="K60">
        <v>30</v>
      </c>
      <c r="L60" t="s">
        <v>396</v>
      </c>
    </row>
    <row r="61" spans="1:13" x14ac:dyDescent="0.25">
      <c r="H61">
        <v>1.1000000000000001</v>
      </c>
      <c r="I61">
        <v>6.6000000000000003E-2</v>
      </c>
      <c r="K61">
        <v>800</v>
      </c>
      <c r="L61" t="s">
        <v>399</v>
      </c>
      <c r="M61" t="s">
        <v>427</v>
      </c>
    </row>
    <row r="62" spans="1:13" x14ac:dyDescent="0.25">
      <c r="H62">
        <v>1.1000000000000001</v>
      </c>
      <c r="I62">
        <v>6.6000000000000003E-2</v>
      </c>
      <c r="K62">
        <v>900</v>
      </c>
      <c r="L62" t="s">
        <v>399</v>
      </c>
      <c r="M62" t="s">
        <v>427</v>
      </c>
    </row>
    <row r="63" spans="1:13" x14ac:dyDescent="0.25">
      <c r="H63">
        <v>1.1000000000000001</v>
      </c>
      <c r="I63">
        <v>6.6000000000000003E-2</v>
      </c>
      <c r="K63">
        <v>700</v>
      </c>
      <c r="L63" t="s">
        <v>399</v>
      </c>
      <c r="M63" t="s">
        <v>427</v>
      </c>
    </row>
    <row r="64" spans="1:13" x14ac:dyDescent="0.25">
      <c r="H64">
        <v>1.1000000000000001</v>
      </c>
      <c r="I64">
        <v>6.6000000000000003E-2</v>
      </c>
      <c r="K64">
        <v>300</v>
      </c>
      <c r="L64" t="s">
        <v>399</v>
      </c>
      <c r="M64" t="s">
        <v>427</v>
      </c>
    </row>
    <row r="65" spans="1:53" x14ac:dyDescent="0.25">
      <c r="H65">
        <v>1.1000000000000001</v>
      </c>
      <c r="I65">
        <v>6.6000000000000003E-2</v>
      </c>
      <c r="K65">
        <v>40</v>
      </c>
      <c r="L65" t="s">
        <v>399</v>
      </c>
      <c r="M65" t="s">
        <v>427</v>
      </c>
    </row>
    <row r="66" spans="1:53" x14ac:dyDescent="0.25">
      <c r="H66">
        <v>1.1000000000000001</v>
      </c>
      <c r="I66">
        <v>6.6000000000000003E-2</v>
      </c>
      <c r="K66">
        <v>30</v>
      </c>
      <c r="L66" t="s">
        <v>399</v>
      </c>
      <c r="M66" t="s">
        <v>427</v>
      </c>
    </row>
    <row r="67" spans="1:53" x14ac:dyDescent="0.25">
      <c r="H67">
        <v>1.1000000000000001</v>
      </c>
      <c r="I67">
        <v>6.6000000000000003E-2</v>
      </c>
      <c r="K67">
        <v>15</v>
      </c>
      <c r="L67" t="s">
        <v>399</v>
      </c>
      <c r="M67" t="s">
        <v>427</v>
      </c>
    </row>
    <row r="68" spans="1:53" x14ac:dyDescent="0.25">
      <c r="H68">
        <v>1.1000000000000001</v>
      </c>
      <c r="I68">
        <v>6.6000000000000003E-2</v>
      </c>
      <c r="K68">
        <v>2</v>
      </c>
      <c r="L68" t="s">
        <v>399</v>
      </c>
      <c r="M68" t="s">
        <v>427</v>
      </c>
    </row>
    <row r="69" spans="1:53" x14ac:dyDescent="0.25">
      <c r="H69">
        <v>1.1000000000000001</v>
      </c>
      <c r="I69">
        <v>6.6000000000000003E-2</v>
      </c>
      <c r="K69">
        <v>1.5</v>
      </c>
      <c r="L69" t="s">
        <v>399</v>
      </c>
      <c r="M69" t="s">
        <v>427</v>
      </c>
    </row>
    <row r="72" spans="1:53" x14ac:dyDescent="0.25">
      <c r="H72">
        <v>1.2</v>
      </c>
      <c r="I72">
        <v>7.0000000000000007E-2</v>
      </c>
      <c r="K72">
        <v>134</v>
      </c>
      <c r="L72" t="s">
        <v>400</v>
      </c>
    </row>
    <row r="73" spans="1:53" x14ac:dyDescent="0.25">
      <c r="I73">
        <v>7.0000000000000007E-2</v>
      </c>
      <c r="K73">
        <v>583</v>
      </c>
      <c r="L73" t="s">
        <v>401</v>
      </c>
    </row>
    <row r="77" spans="1:53" x14ac:dyDescent="0.25">
      <c r="A77" s="29" t="s">
        <v>428</v>
      </c>
    </row>
    <row r="78" spans="1:53" x14ac:dyDescent="0.25">
      <c r="A78" t="s">
        <v>384</v>
      </c>
      <c r="B78" t="s">
        <v>388</v>
      </c>
      <c r="C78" t="s">
        <v>431</v>
      </c>
      <c r="D78" t="s">
        <v>433</v>
      </c>
      <c r="E78" t="s">
        <v>432</v>
      </c>
      <c r="F78" t="s">
        <v>430</v>
      </c>
      <c r="G78" t="s">
        <v>388</v>
      </c>
      <c r="H78" t="s">
        <v>431</v>
      </c>
      <c r="I78" t="s">
        <v>433</v>
      </c>
      <c r="J78" t="s">
        <v>429</v>
      </c>
      <c r="K78" t="s">
        <v>430</v>
      </c>
      <c r="L78" t="s">
        <v>388</v>
      </c>
      <c r="M78" t="s">
        <v>431</v>
      </c>
      <c r="N78" t="s">
        <v>433</v>
      </c>
      <c r="O78" t="s">
        <v>429</v>
      </c>
      <c r="P78" t="s">
        <v>430</v>
      </c>
      <c r="Q78" t="s">
        <v>388</v>
      </c>
      <c r="R78" t="s">
        <v>431</v>
      </c>
      <c r="S78" t="s">
        <v>433</v>
      </c>
      <c r="T78" t="s">
        <v>429</v>
      </c>
      <c r="U78" t="s">
        <v>430</v>
      </c>
      <c r="V78" t="s">
        <v>388</v>
      </c>
      <c r="W78" t="s">
        <v>431</v>
      </c>
      <c r="X78" t="s">
        <v>433</v>
      </c>
      <c r="Y78" t="s">
        <v>429</v>
      </c>
      <c r="Z78" t="s">
        <v>430</v>
      </c>
      <c r="AB78" t="s">
        <v>384</v>
      </c>
      <c r="AC78" t="s">
        <v>388</v>
      </c>
      <c r="AD78" t="s">
        <v>431</v>
      </c>
      <c r="AE78" t="s">
        <v>433</v>
      </c>
      <c r="AF78" t="s">
        <v>432</v>
      </c>
      <c r="AG78" s="3" t="s">
        <v>430</v>
      </c>
      <c r="AH78" t="s">
        <v>388</v>
      </c>
      <c r="AI78" t="s">
        <v>431</v>
      </c>
      <c r="AJ78" t="s">
        <v>433</v>
      </c>
      <c r="AK78" t="s">
        <v>429</v>
      </c>
      <c r="AL78" s="3" t="s">
        <v>430</v>
      </c>
      <c r="AM78" t="s">
        <v>388</v>
      </c>
      <c r="AN78" t="s">
        <v>431</v>
      </c>
      <c r="AO78" t="s">
        <v>433</v>
      </c>
      <c r="AP78" t="s">
        <v>429</v>
      </c>
      <c r="AQ78" s="3" t="s">
        <v>430</v>
      </c>
      <c r="AR78" t="s">
        <v>388</v>
      </c>
      <c r="AS78" t="s">
        <v>431</v>
      </c>
      <c r="AT78" t="s">
        <v>433</v>
      </c>
      <c r="AU78" t="s">
        <v>429</v>
      </c>
      <c r="AV78" s="3" t="s">
        <v>430</v>
      </c>
      <c r="AW78" t="s">
        <v>388</v>
      </c>
      <c r="AX78" t="s">
        <v>431</v>
      </c>
      <c r="AY78" t="s">
        <v>433</v>
      </c>
      <c r="AZ78" t="s">
        <v>429</v>
      </c>
      <c r="BA78" s="3" t="s">
        <v>430</v>
      </c>
    </row>
    <row r="79" spans="1:53" x14ac:dyDescent="0.25">
      <c r="A79" t="s">
        <v>387</v>
      </c>
      <c r="B79" s="51">
        <v>0.99</v>
      </c>
      <c r="C79">
        <v>0.51</v>
      </c>
      <c r="G79" s="59">
        <v>0.9</v>
      </c>
      <c r="H79">
        <v>0.27600000000000002</v>
      </c>
      <c r="L79">
        <v>0.5</v>
      </c>
      <c r="M79">
        <v>0.1898</v>
      </c>
      <c r="Q79" s="59">
        <v>0.25</v>
      </c>
      <c r="R79">
        <v>9.9299999999999999E-2</v>
      </c>
      <c r="V79" s="59">
        <v>0.1</v>
      </c>
      <c r="W79">
        <v>6.6199999999999995E-2</v>
      </c>
      <c r="AB79" t="s">
        <v>390</v>
      </c>
      <c r="AC79" s="51">
        <v>0.99</v>
      </c>
      <c r="AD79">
        <v>1.400002</v>
      </c>
      <c r="AH79" s="59">
        <v>0.9</v>
      </c>
      <c r="AI79">
        <v>0.22015299999999999</v>
      </c>
      <c r="AL79" s="3"/>
      <c r="AM79">
        <v>0.5</v>
      </c>
      <c r="AN79">
        <v>0.14930299999999999</v>
      </c>
      <c r="AR79" s="59">
        <v>0.25</v>
      </c>
      <c r="AS79">
        <v>9.9676000000000001E-2</v>
      </c>
      <c r="AW79" s="59">
        <v>0.1</v>
      </c>
      <c r="AX79">
        <v>6.5074000000000007E-2</v>
      </c>
      <c r="BA79" s="3"/>
    </row>
    <row r="80" spans="1:53" x14ac:dyDescent="0.25">
      <c r="B80" s="51"/>
      <c r="C80">
        <v>0.6</v>
      </c>
      <c r="D80">
        <f>(C80-$C$79)/($C$86-$C$79)</f>
        <v>9.0908999081819084E-2</v>
      </c>
      <c r="E80">
        <v>3.11</v>
      </c>
      <c r="F80">
        <v>2.12</v>
      </c>
      <c r="G80" s="59"/>
      <c r="H80">
        <v>0.3</v>
      </c>
      <c r="I80">
        <f>(H80-$H$79)/($H$99-$H$79)</f>
        <v>1.9607843137254874E-2</v>
      </c>
      <c r="J80">
        <v>3</v>
      </c>
      <c r="K80">
        <v>11.41</v>
      </c>
      <c r="L80" s="59"/>
      <c r="M80">
        <v>0.20000100000000001</v>
      </c>
      <c r="N80">
        <f>(M80-$M$79)/($M$97-$M$79)</f>
        <v>1.4779773978556962E-2</v>
      </c>
      <c r="O80">
        <v>6.4</v>
      </c>
      <c r="P80">
        <v>34.770000000000003</v>
      </c>
      <c r="Q80" s="59"/>
      <c r="R80">
        <v>0.12</v>
      </c>
      <c r="S80">
        <f>(R80-$R$79)/($R$95-$R$79)</f>
        <v>5.4373522458628837E-2</v>
      </c>
      <c r="T80">
        <v>10.09</v>
      </c>
      <c r="U80">
        <v>12.86</v>
      </c>
      <c r="V80" s="59"/>
      <c r="W80">
        <v>0.08</v>
      </c>
      <c r="X80">
        <f>(W80-$W$79)/($W$92-$W$79)</f>
        <v>5.4373308221795841E-2</v>
      </c>
      <c r="Y80">
        <v>12.66</v>
      </c>
      <c r="Z80">
        <v>16.48</v>
      </c>
      <c r="AC80" s="51"/>
      <c r="AD80">
        <v>1.5000009999999999</v>
      </c>
      <c r="AE80">
        <f>(AD80-$AD$79)/($AD$85-$AD$79)</f>
        <v>0.16666527777546283</v>
      </c>
      <c r="AF80">
        <v>4.37</v>
      </c>
      <c r="AG80" s="3">
        <v>41.91</v>
      </c>
      <c r="AI80">
        <v>0.25000099999999997</v>
      </c>
      <c r="AJ80">
        <f>(AI80-$AI$79)/($AI$95-$AI$79)</f>
        <v>3.827417429316262E-2</v>
      </c>
      <c r="AK80">
        <v>6.05</v>
      </c>
      <c r="AL80" s="3">
        <v>13.62</v>
      </c>
      <c r="AN80">
        <v>0.150001</v>
      </c>
      <c r="AO80">
        <f>(AN80-$AN$79)/($AN$92-$AN$79)</f>
        <v>2.3212658547778972E-3</v>
      </c>
      <c r="AP80">
        <v>6.9</v>
      </c>
      <c r="AQ80" s="3">
        <v>240.4</v>
      </c>
      <c r="AS80">
        <v>0.1</v>
      </c>
      <c r="AT80">
        <f>(AS80-$AS$79)/($AS$91-$AS$79)</f>
        <v>1.1767953393093404E-3</v>
      </c>
      <c r="AU80">
        <v>7.38</v>
      </c>
      <c r="AV80" s="3">
        <v>335.57</v>
      </c>
      <c r="AX80">
        <v>7.4999999999999997E-2</v>
      </c>
      <c r="AY80">
        <f>(AX80-$AX$79)/($AX$84-$AX$79)</f>
        <v>9.0297108964212211E-2</v>
      </c>
      <c r="AZ80">
        <v>14.85</v>
      </c>
      <c r="BA80" s="3">
        <v>16.72</v>
      </c>
    </row>
    <row r="81" spans="2:53" x14ac:dyDescent="0.25">
      <c r="B81" s="51"/>
      <c r="C81">
        <v>0.75</v>
      </c>
      <c r="D81">
        <f t="shared" ref="D81:D86" si="1">(C81-$C$79)/($C$86-$C$79)</f>
        <v>0.24242399755151764</v>
      </c>
      <c r="E81">
        <v>2.73</v>
      </c>
      <c r="F81">
        <v>2.61</v>
      </c>
      <c r="G81" s="59"/>
      <c r="H81">
        <v>3.6</v>
      </c>
      <c r="I81">
        <f t="shared" ref="I81:I99" si="2">(H81-$H$79)/($H$99-$H$79)</f>
        <v>2.715686274509804</v>
      </c>
      <c r="J81">
        <v>3.25</v>
      </c>
      <c r="K81">
        <v>5.65</v>
      </c>
      <c r="L81" s="59"/>
      <c r="M81">
        <v>0.24000099999999999</v>
      </c>
      <c r="N81">
        <f t="shared" ref="N81:N99" si="3">(M81-$M$79)/($M$97-$M$79)</f>
        <v>7.2733990147783242E-2</v>
      </c>
      <c r="O81">
        <v>7.74</v>
      </c>
      <c r="P81">
        <v>12.84</v>
      </c>
      <c r="Q81" s="59"/>
      <c r="R81">
        <v>0.14400099999999999</v>
      </c>
      <c r="S81">
        <f t="shared" ref="S81:S99" si="4">(R81-$R$79)/($R$95-$R$79)</f>
        <v>0.11741791436826896</v>
      </c>
      <c r="T81">
        <v>13.14</v>
      </c>
      <c r="U81">
        <v>12.2</v>
      </c>
      <c r="V81" s="59"/>
      <c r="W81">
        <v>0.1</v>
      </c>
      <c r="X81">
        <f t="shared" ref="X81:X99" si="5">(W81-$W$79)/($W$92-$W$79)</f>
        <v>0.13317520419541298</v>
      </c>
      <c r="Y81">
        <v>18.73</v>
      </c>
      <c r="Z81">
        <v>15.92</v>
      </c>
      <c r="AC81" s="51"/>
      <c r="AD81">
        <v>1.600001</v>
      </c>
      <c r="AE81">
        <f t="shared" ref="AE81:AE85" si="6">(AD81-$AD$79)/($AD$85-$AD$79)</f>
        <v>0.33333222222037034</v>
      </c>
      <c r="AF81">
        <v>4.1900000000000004</v>
      </c>
      <c r="AG81" s="3">
        <v>23.16</v>
      </c>
      <c r="AI81">
        <v>0.30000100000000002</v>
      </c>
      <c r="AJ81">
        <f t="shared" ref="AJ81:AJ95" si="7">(AI81-$AI$79)/($AI$95-$AI$79)</f>
        <v>0.10238931482713921</v>
      </c>
      <c r="AK81">
        <v>6.76</v>
      </c>
      <c r="AL81" s="3">
        <v>9.11</v>
      </c>
      <c r="AN81">
        <v>0.17500099999999999</v>
      </c>
      <c r="AO81">
        <f t="shared" ref="AO81:AO94" si="8">(AN81-$AN$79)/($AN$92-$AN$79)</f>
        <v>8.5461160366879715E-2</v>
      </c>
      <c r="AP81">
        <v>9.6199999999999992</v>
      </c>
      <c r="AQ81" s="3">
        <v>14.45</v>
      </c>
      <c r="AS81">
        <v>0.125001</v>
      </c>
      <c r="AT81">
        <f t="shared" ref="AT81:AT95" si="9">(AS81-$AS$79)/($AS$91-$AS$79)</f>
        <v>9.1982536938298151E-2</v>
      </c>
      <c r="AU81">
        <v>10.99</v>
      </c>
      <c r="AV81" s="3">
        <v>13.01</v>
      </c>
      <c r="AX81">
        <v>0.1</v>
      </c>
      <c r="AY81">
        <f t="shared" ref="AY81:AY95" si="10">(AX81-$AX$79)/($AX$84-$AX$79)</f>
        <v>0.31772283172315924</v>
      </c>
      <c r="AZ81">
        <v>76.66</v>
      </c>
      <c r="BA81" s="3">
        <v>40.520000000000003</v>
      </c>
    </row>
    <row r="82" spans="2:53" x14ac:dyDescent="0.25">
      <c r="B82" s="51"/>
      <c r="C82">
        <v>0.9</v>
      </c>
      <c r="D82">
        <f t="shared" si="1"/>
        <v>0.39393899602121618</v>
      </c>
      <c r="E82">
        <v>2.69</v>
      </c>
      <c r="F82">
        <v>2.74</v>
      </c>
      <c r="G82" s="59"/>
      <c r="H82">
        <v>0.42</v>
      </c>
      <c r="I82">
        <f t="shared" si="2"/>
        <v>0.11764705882352938</v>
      </c>
      <c r="J82">
        <v>3.22</v>
      </c>
      <c r="K82">
        <v>4.6900000000000004</v>
      </c>
      <c r="L82" s="59"/>
      <c r="M82">
        <v>0.280001</v>
      </c>
      <c r="N82">
        <f t="shared" si="3"/>
        <v>0.13068820631700956</v>
      </c>
      <c r="O82">
        <v>8.17</v>
      </c>
      <c r="P82">
        <v>10.7</v>
      </c>
      <c r="Q82" s="59"/>
      <c r="R82">
        <v>0.16800100000000001</v>
      </c>
      <c r="S82">
        <f t="shared" si="4"/>
        <v>0.18045967953769376</v>
      </c>
      <c r="T82">
        <v>15.88</v>
      </c>
      <c r="U82">
        <v>13.03</v>
      </c>
      <c r="V82" s="59"/>
      <c r="W82">
        <v>0.12</v>
      </c>
      <c r="X82">
        <f t="shared" si="5"/>
        <v>0.21197710016903007</v>
      </c>
      <c r="Y82">
        <v>26.11</v>
      </c>
      <c r="Z82">
        <v>18.329999999999998</v>
      </c>
      <c r="AC82" s="51"/>
      <c r="AD82">
        <v>1.7000010000000001</v>
      </c>
      <c r="AE82">
        <f t="shared" si="6"/>
        <v>0.49999916666527783</v>
      </c>
      <c r="AF82">
        <v>4.22</v>
      </c>
      <c r="AG82" s="3">
        <v>16.920000000000002</v>
      </c>
      <c r="AI82">
        <v>0.35</v>
      </c>
      <c r="AJ82">
        <f t="shared" si="7"/>
        <v>0.16650317305830503</v>
      </c>
      <c r="AK82">
        <v>6.94</v>
      </c>
      <c r="AL82" s="3">
        <v>8.23</v>
      </c>
      <c r="AN82">
        <v>0.20000100000000001</v>
      </c>
      <c r="AO82">
        <f t="shared" si="8"/>
        <v>0.16860105487898164</v>
      </c>
      <c r="AP82">
        <v>17.39</v>
      </c>
      <c r="AQ82" s="3">
        <v>13.52</v>
      </c>
      <c r="AS82">
        <v>0.15</v>
      </c>
      <c r="AT82">
        <f t="shared" si="9"/>
        <v>0.18278101436852578</v>
      </c>
      <c r="AU82">
        <v>18.39</v>
      </c>
      <c r="AV82" s="3">
        <v>13.66</v>
      </c>
      <c r="AX82">
        <v>0.125</v>
      </c>
      <c r="AY82">
        <f t="shared" si="10"/>
        <v>0.5451485544821062</v>
      </c>
      <c r="AZ82">
        <v>105.18</v>
      </c>
      <c r="BA82" s="3">
        <v>81.599999999999994</v>
      </c>
    </row>
    <row r="83" spans="2:53" x14ac:dyDescent="0.25">
      <c r="B83" s="51"/>
      <c r="C83">
        <v>1.05</v>
      </c>
      <c r="D83">
        <f t="shared" si="1"/>
        <v>0.5454539944909147</v>
      </c>
      <c r="E83">
        <v>3.24</v>
      </c>
      <c r="F83">
        <v>2.8</v>
      </c>
      <c r="G83" s="59"/>
      <c r="H83">
        <v>0.48</v>
      </c>
      <c r="I83">
        <f t="shared" si="2"/>
        <v>0.16666666666666663</v>
      </c>
      <c r="J83">
        <v>3.1</v>
      </c>
      <c r="K83">
        <v>4.3</v>
      </c>
      <c r="L83" s="59"/>
      <c r="M83">
        <v>0.32</v>
      </c>
      <c r="N83">
        <f t="shared" si="3"/>
        <v>0.18864097363083165</v>
      </c>
      <c r="O83">
        <v>8.4</v>
      </c>
      <c r="P83">
        <v>9.9600000000000009</v>
      </c>
      <c r="Q83" s="59"/>
      <c r="R83">
        <v>0.192001</v>
      </c>
      <c r="S83">
        <f t="shared" si="4"/>
        <v>0.24350144470711849</v>
      </c>
      <c r="T83">
        <v>17.91</v>
      </c>
      <c r="U83">
        <v>14.05</v>
      </c>
      <c r="V83" s="59"/>
      <c r="W83">
        <v>0.14000099999999999</v>
      </c>
      <c r="X83">
        <f t="shared" si="5"/>
        <v>0.29078293623744583</v>
      </c>
      <c r="Y83">
        <v>32.01</v>
      </c>
      <c r="Z83">
        <v>21.3</v>
      </c>
      <c r="AC83" s="51"/>
      <c r="AD83">
        <v>1.800001</v>
      </c>
      <c r="AE83">
        <f t="shared" si="6"/>
        <v>0.66666611111018503</v>
      </c>
      <c r="AF83">
        <v>4.5199999999999996</v>
      </c>
      <c r="AG83" s="3">
        <v>13.79</v>
      </c>
      <c r="AI83">
        <v>0.4</v>
      </c>
      <c r="AJ83">
        <f t="shared" si="7"/>
        <v>0.23061831359228163</v>
      </c>
      <c r="AK83">
        <v>6.84</v>
      </c>
      <c r="AL83" s="3">
        <v>7.85</v>
      </c>
      <c r="AN83">
        <v>0.22500000000000001</v>
      </c>
      <c r="AO83">
        <f t="shared" si="8"/>
        <v>0.25173762379530296</v>
      </c>
      <c r="AP83">
        <v>30.77</v>
      </c>
      <c r="AQ83" s="3">
        <v>17.5</v>
      </c>
      <c r="AS83">
        <v>0.17499999999999999</v>
      </c>
      <c r="AT83">
        <f t="shared" si="9"/>
        <v>0.27358312388313399</v>
      </c>
      <c r="AU83">
        <v>34.08</v>
      </c>
      <c r="AV83" s="3">
        <v>20.09</v>
      </c>
      <c r="AX83">
        <v>0.15</v>
      </c>
      <c r="AY83">
        <f t="shared" si="10"/>
        <v>0.7725742772410531</v>
      </c>
      <c r="AZ83">
        <v>10.7</v>
      </c>
      <c r="BA83" s="3">
        <v>85.72</v>
      </c>
    </row>
    <row r="84" spans="2:53" x14ac:dyDescent="0.25">
      <c r="B84" s="51"/>
      <c r="C84">
        <v>1.2000010000000001</v>
      </c>
      <c r="D84">
        <f t="shared" si="1"/>
        <v>0.69697000306060308</v>
      </c>
      <c r="E84">
        <v>2.71</v>
      </c>
      <c r="F84">
        <v>2.84</v>
      </c>
      <c r="G84" s="59"/>
      <c r="H84">
        <v>0.54</v>
      </c>
      <c r="I84">
        <f t="shared" si="2"/>
        <v>0.21568627450980393</v>
      </c>
      <c r="J84">
        <v>3.5</v>
      </c>
      <c r="K84">
        <v>4.09</v>
      </c>
      <c r="L84" s="59"/>
      <c r="M84">
        <v>0.36</v>
      </c>
      <c r="N84">
        <f t="shared" si="3"/>
        <v>0.24659518980005793</v>
      </c>
      <c r="O84">
        <v>8.51</v>
      </c>
      <c r="P84">
        <v>9.61</v>
      </c>
      <c r="Q84" s="59"/>
      <c r="R84">
        <v>0.216001</v>
      </c>
      <c r="S84">
        <f t="shared" si="4"/>
        <v>0.30654320987654321</v>
      </c>
      <c r="T84">
        <v>19.53</v>
      </c>
      <c r="U84">
        <v>15.02</v>
      </c>
      <c r="V84" s="59"/>
      <c r="W84">
        <v>0.160001</v>
      </c>
      <c r="X84">
        <f t="shared" si="5"/>
        <v>0.36958483221106303</v>
      </c>
      <c r="Y84">
        <v>34.24</v>
      </c>
      <c r="Z84">
        <v>23.89</v>
      </c>
      <c r="AC84" s="51"/>
      <c r="AD84">
        <v>1.9000010000000001</v>
      </c>
      <c r="AE84">
        <f t="shared" si="6"/>
        <v>0.83333305555509252</v>
      </c>
      <c r="AF84">
        <v>4.6900000000000004</v>
      </c>
      <c r="AG84" s="3">
        <v>11.92</v>
      </c>
      <c r="AI84">
        <v>0.45</v>
      </c>
      <c r="AJ84">
        <f t="shared" si="7"/>
        <v>0.29473345412625812</v>
      </c>
      <c r="AK84">
        <v>6.56</v>
      </c>
      <c r="AL84" s="3">
        <v>7.6</v>
      </c>
      <c r="AN84">
        <v>0.25</v>
      </c>
      <c r="AO84">
        <f t="shared" si="8"/>
        <v>0.33487751830740475</v>
      </c>
      <c r="AP84">
        <v>33.630000000000003</v>
      </c>
      <c r="AQ84" s="3">
        <v>22.39</v>
      </c>
      <c r="AS84">
        <v>0.2</v>
      </c>
      <c r="AT84">
        <f t="shared" si="9"/>
        <v>0.36438523339774231</v>
      </c>
      <c r="AU84">
        <v>35.44</v>
      </c>
      <c r="AV84" s="3">
        <v>26.27</v>
      </c>
      <c r="AX84">
        <v>0.17499999999999999</v>
      </c>
      <c r="AY84">
        <f t="shared" si="10"/>
        <v>1</v>
      </c>
      <c r="AZ84">
        <v>0</v>
      </c>
      <c r="BA84" s="3">
        <v>80.36</v>
      </c>
    </row>
    <row r="85" spans="2:53" x14ac:dyDescent="0.25">
      <c r="B85" s="51"/>
      <c r="C85">
        <v>1.350001</v>
      </c>
      <c r="D85">
        <f t="shared" si="1"/>
        <v>0.8484850015303016</v>
      </c>
      <c r="E85">
        <v>3.13</v>
      </c>
      <c r="F85">
        <v>2.87</v>
      </c>
      <c r="G85" s="59"/>
      <c r="H85">
        <v>0.6</v>
      </c>
      <c r="I85">
        <f t="shared" si="2"/>
        <v>0.26470588235294112</v>
      </c>
      <c r="J85">
        <v>3.55</v>
      </c>
      <c r="K85">
        <v>3.97</v>
      </c>
      <c r="L85" s="59"/>
      <c r="M85">
        <v>0.4</v>
      </c>
      <c r="N85">
        <f t="shared" si="3"/>
        <v>0.30454940596928426</v>
      </c>
      <c r="O85">
        <v>8.82</v>
      </c>
      <c r="P85">
        <v>9.43</v>
      </c>
      <c r="Q85" s="59"/>
      <c r="R85">
        <v>0.24000099999999999</v>
      </c>
      <c r="S85">
        <f t="shared" si="4"/>
        <v>0.36958497504596793</v>
      </c>
      <c r="T85">
        <v>21.19</v>
      </c>
      <c r="U85">
        <v>15.94</v>
      </c>
      <c r="V85" s="59"/>
      <c r="W85">
        <v>0.18000099999999999</v>
      </c>
      <c r="X85">
        <f t="shared" si="5"/>
        <v>0.44838672818468012</v>
      </c>
      <c r="Y85">
        <v>34.49</v>
      </c>
      <c r="Z85">
        <v>25.74</v>
      </c>
      <c r="AC85" s="51"/>
      <c r="AD85">
        <v>2.0000010000000001</v>
      </c>
      <c r="AE85">
        <f t="shared" si="6"/>
        <v>1</v>
      </c>
      <c r="AF85">
        <v>0</v>
      </c>
      <c r="AG85" s="3">
        <v>11.56</v>
      </c>
      <c r="AI85">
        <v>0.5</v>
      </c>
      <c r="AJ85">
        <f t="shared" si="7"/>
        <v>0.35884859466023467</v>
      </c>
      <c r="AK85">
        <v>6.5</v>
      </c>
      <c r="AL85" s="3">
        <v>7.41</v>
      </c>
      <c r="AN85">
        <v>0.275001</v>
      </c>
      <c r="AO85">
        <f t="shared" si="8"/>
        <v>0.41802073841528709</v>
      </c>
      <c r="AP85">
        <v>33.46</v>
      </c>
      <c r="AQ85" s="3">
        <v>25.06</v>
      </c>
      <c r="AS85">
        <v>0.22500000000000001</v>
      </c>
      <c r="AT85">
        <f t="shared" si="9"/>
        <v>0.45518734291235047</v>
      </c>
      <c r="AU85">
        <v>34.15</v>
      </c>
      <c r="AV85" s="3">
        <v>28.58</v>
      </c>
    </row>
    <row r="86" spans="2:53" x14ac:dyDescent="0.25">
      <c r="B86" s="51"/>
      <c r="C86">
        <v>1.5000009999999999</v>
      </c>
      <c r="D86">
        <f t="shared" si="1"/>
        <v>1</v>
      </c>
      <c r="E86">
        <v>3.15</v>
      </c>
      <c r="F86">
        <v>2.88</v>
      </c>
      <c r="G86" s="59"/>
      <c r="H86">
        <v>0.66</v>
      </c>
      <c r="I86">
        <f t="shared" si="2"/>
        <v>0.31372549019607843</v>
      </c>
      <c r="J86">
        <v>3.14</v>
      </c>
      <c r="K86">
        <v>3.88</v>
      </c>
      <c r="L86" s="59"/>
      <c r="M86">
        <v>0.44</v>
      </c>
      <c r="N86">
        <f t="shared" si="3"/>
        <v>0.36250362213851051</v>
      </c>
      <c r="O86">
        <v>8.98</v>
      </c>
      <c r="P86">
        <v>9.35</v>
      </c>
      <c r="Q86" s="59"/>
      <c r="R86">
        <v>0.26400099999999999</v>
      </c>
      <c r="S86">
        <f t="shared" si="4"/>
        <v>0.43262674021539266</v>
      </c>
      <c r="T86">
        <v>20.82</v>
      </c>
      <c r="U86">
        <v>16.7</v>
      </c>
      <c r="V86" s="59"/>
      <c r="W86">
        <v>0.20000100000000001</v>
      </c>
      <c r="X86">
        <f t="shared" si="5"/>
        <v>0.52718862415829726</v>
      </c>
      <c r="Y86">
        <v>34.46</v>
      </c>
      <c r="Z86">
        <v>27.05</v>
      </c>
      <c r="AI86">
        <v>0.55000000000000004</v>
      </c>
      <c r="AJ86">
        <f t="shared" si="7"/>
        <v>0.42296373519421127</v>
      </c>
      <c r="AK86">
        <v>6.49</v>
      </c>
      <c r="AL86" s="3">
        <v>7.27</v>
      </c>
      <c r="AN86">
        <v>0.30000100000000002</v>
      </c>
      <c r="AO86">
        <f t="shared" si="8"/>
        <v>0.50116063292738899</v>
      </c>
      <c r="AP86">
        <v>33.39</v>
      </c>
      <c r="AQ86" s="3">
        <v>26.65</v>
      </c>
      <c r="AS86">
        <v>0.25</v>
      </c>
      <c r="AT86">
        <f t="shared" si="9"/>
        <v>0.54598945242695884</v>
      </c>
      <c r="AU86">
        <v>34</v>
      </c>
      <c r="AV86" s="3">
        <v>29.75</v>
      </c>
    </row>
    <row r="87" spans="2:53" x14ac:dyDescent="0.25">
      <c r="B87" s="51"/>
      <c r="G87" s="59"/>
      <c r="H87">
        <v>0.72</v>
      </c>
      <c r="I87">
        <f t="shared" si="2"/>
        <v>0.36274509803921567</v>
      </c>
      <c r="J87">
        <v>3.7</v>
      </c>
      <c r="K87">
        <v>3.82</v>
      </c>
      <c r="L87" s="59"/>
      <c r="M87">
        <v>0.48</v>
      </c>
      <c r="N87">
        <f t="shared" si="3"/>
        <v>0.42045783830773686</v>
      </c>
      <c r="O87">
        <v>8.7799999999999994</v>
      </c>
      <c r="P87">
        <v>9.27</v>
      </c>
      <c r="Q87" s="59"/>
      <c r="R87">
        <v>0.28800100000000001</v>
      </c>
      <c r="S87">
        <f t="shared" si="4"/>
        <v>0.49566850538481749</v>
      </c>
      <c r="T87">
        <v>21.58</v>
      </c>
      <c r="U87">
        <v>17.29</v>
      </c>
      <c r="V87" s="59"/>
      <c r="W87">
        <v>0.220001</v>
      </c>
      <c r="X87">
        <f t="shared" si="5"/>
        <v>0.60599052013191446</v>
      </c>
      <c r="Y87">
        <v>34.42</v>
      </c>
      <c r="Z87">
        <v>28.01</v>
      </c>
      <c r="AI87">
        <v>0.6</v>
      </c>
      <c r="AJ87">
        <f t="shared" si="7"/>
        <v>0.4870788757281877</v>
      </c>
      <c r="AK87">
        <v>6.8</v>
      </c>
      <c r="AL87" s="3">
        <v>7.19</v>
      </c>
      <c r="AN87">
        <v>0.32500000000000001</v>
      </c>
      <c r="AO87">
        <f t="shared" si="8"/>
        <v>0.58429720184371037</v>
      </c>
      <c r="AP87">
        <v>33.119999999999997</v>
      </c>
      <c r="AQ87" s="3">
        <v>27.71</v>
      </c>
      <c r="AS87">
        <v>0.27500000000000002</v>
      </c>
      <c r="AT87">
        <f t="shared" si="9"/>
        <v>0.63679156194156716</v>
      </c>
      <c r="AU87">
        <v>34.01</v>
      </c>
      <c r="AV87" s="3">
        <v>30.49</v>
      </c>
    </row>
    <row r="88" spans="2:53" x14ac:dyDescent="0.25">
      <c r="B88" s="51"/>
      <c r="G88" s="59"/>
      <c r="H88">
        <v>0.78</v>
      </c>
      <c r="I88">
        <f t="shared" si="2"/>
        <v>0.41176470588235298</v>
      </c>
      <c r="J88">
        <v>3.15</v>
      </c>
      <c r="K88">
        <v>3.77</v>
      </c>
      <c r="L88" s="59"/>
      <c r="M88">
        <v>0.52</v>
      </c>
      <c r="N88">
        <f t="shared" si="3"/>
        <v>0.47841205447696322</v>
      </c>
      <c r="O88">
        <v>8.74</v>
      </c>
      <c r="P88">
        <v>9.2100000000000009</v>
      </c>
      <c r="Q88" s="59"/>
      <c r="R88">
        <v>0.31200099999999997</v>
      </c>
      <c r="S88">
        <f t="shared" si="4"/>
        <v>0.55871027055424216</v>
      </c>
      <c r="T88">
        <v>22.19</v>
      </c>
      <c r="U88">
        <v>17.8</v>
      </c>
      <c r="V88" s="59"/>
      <c r="W88">
        <v>0.24000099999999999</v>
      </c>
      <c r="X88">
        <f t="shared" si="5"/>
        <v>0.68479241610553143</v>
      </c>
      <c r="Y88">
        <v>34.43</v>
      </c>
      <c r="Z88">
        <v>28.75</v>
      </c>
      <c r="AI88">
        <v>0.65</v>
      </c>
      <c r="AJ88">
        <f t="shared" si="7"/>
        <v>0.55119401626216435</v>
      </c>
      <c r="AK88">
        <v>7.04</v>
      </c>
      <c r="AL88" s="3">
        <v>7.16</v>
      </c>
      <c r="AN88">
        <v>0.35000100000000001</v>
      </c>
      <c r="AO88">
        <f t="shared" si="8"/>
        <v>0.66744042195159259</v>
      </c>
      <c r="AP88">
        <v>32.93</v>
      </c>
      <c r="AQ88" s="3">
        <v>28.47</v>
      </c>
      <c r="AS88">
        <v>0.3</v>
      </c>
      <c r="AT88">
        <f t="shared" si="9"/>
        <v>0.72759367145617526</v>
      </c>
      <c r="AU88">
        <v>29.89</v>
      </c>
      <c r="AV88" s="3">
        <v>30.91</v>
      </c>
    </row>
    <row r="89" spans="2:53" x14ac:dyDescent="0.25">
      <c r="G89" s="59"/>
      <c r="H89">
        <v>0.84</v>
      </c>
      <c r="I89">
        <f t="shared" si="2"/>
        <v>0.46078431372549017</v>
      </c>
      <c r="J89">
        <v>3.68</v>
      </c>
      <c r="K89" s="3">
        <v>3.73</v>
      </c>
      <c r="L89" s="59"/>
      <c r="M89">
        <v>0.56000000000000005</v>
      </c>
      <c r="N89">
        <f t="shared" si="3"/>
        <v>0.53636627064618958</v>
      </c>
      <c r="O89">
        <v>9.58</v>
      </c>
      <c r="P89" s="3">
        <v>9.2100000000000009</v>
      </c>
      <c r="Q89" s="59"/>
      <c r="R89">
        <v>0.33600000000000002</v>
      </c>
      <c r="S89">
        <f t="shared" si="4"/>
        <v>0.62174940898345166</v>
      </c>
      <c r="T89">
        <v>22</v>
      </c>
      <c r="U89" s="3">
        <v>18.22</v>
      </c>
      <c r="V89" s="59"/>
      <c r="W89">
        <v>0.26000099999999998</v>
      </c>
      <c r="X89">
        <f t="shared" si="5"/>
        <v>0.76359431207914863</v>
      </c>
      <c r="Y89">
        <v>34.47</v>
      </c>
      <c r="Z89">
        <v>29.33</v>
      </c>
      <c r="AI89">
        <v>0.7</v>
      </c>
      <c r="AJ89">
        <f t="shared" si="7"/>
        <v>0.61530915679614073</v>
      </c>
      <c r="AK89">
        <v>7.27</v>
      </c>
      <c r="AL89" s="3">
        <v>7.17</v>
      </c>
      <c r="AN89">
        <v>0.375</v>
      </c>
      <c r="AO89">
        <f t="shared" si="8"/>
        <v>0.75057699086791396</v>
      </c>
      <c r="AP89">
        <v>1.52</v>
      </c>
      <c r="AQ89" s="3">
        <v>27.17</v>
      </c>
      <c r="AS89">
        <v>0.32500000000000001</v>
      </c>
      <c r="AT89">
        <f t="shared" si="9"/>
        <v>0.81839578097078358</v>
      </c>
      <c r="AU89">
        <v>3.49</v>
      </c>
      <c r="AV89" s="3">
        <v>28.68</v>
      </c>
    </row>
    <row r="90" spans="2:53" x14ac:dyDescent="0.25">
      <c r="G90" s="59"/>
      <c r="H90">
        <v>0.9</v>
      </c>
      <c r="I90">
        <f t="shared" si="2"/>
        <v>0.50980392156862742</v>
      </c>
      <c r="J90">
        <v>3.17</v>
      </c>
      <c r="K90" s="3">
        <v>3.7</v>
      </c>
      <c r="L90" s="59"/>
      <c r="M90">
        <v>0.6</v>
      </c>
      <c r="N90">
        <f t="shared" si="3"/>
        <v>0.59432048681541583</v>
      </c>
      <c r="O90">
        <v>9.83</v>
      </c>
      <c r="P90" s="3">
        <v>9.2799999999999994</v>
      </c>
      <c r="Q90" s="59"/>
      <c r="R90">
        <v>0.36</v>
      </c>
      <c r="S90">
        <f t="shared" si="4"/>
        <v>0.68479117415287627</v>
      </c>
      <c r="T90">
        <v>22.43</v>
      </c>
      <c r="U90" s="3">
        <v>18.62</v>
      </c>
      <c r="V90" s="59"/>
      <c r="W90">
        <v>0.280001</v>
      </c>
      <c r="X90">
        <f t="shared" si="5"/>
        <v>0.84239620805276583</v>
      </c>
      <c r="Y90">
        <v>3.61</v>
      </c>
      <c r="Z90">
        <v>28</v>
      </c>
      <c r="AI90">
        <v>0.75</v>
      </c>
      <c r="AJ90">
        <f t="shared" si="7"/>
        <v>0.67942429733011733</v>
      </c>
      <c r="AK90">
        <v>7.3</v>
      </c>
      <c r="AL90" s="3">
        <v>7.18</v>
      </c>
      <c r="AN90">
        <v>0.400001</v>
      </c>
      <c r="AO90">
        <f t="shared" si="8"/>
        <v>0.83372021097579618</v>
      </c>
      <c r="AP90">
        <v>1.83</v>
      </c>
      <c r="AQ90" s="3">
        <v>24.97</v>
      </c>
      <c r="AS90">
        <v>0.35</v>
      </c>
      <c r="AT90">
        <f t="shared" si="9"/>
        <v>0.90919789048539168</v>
      </c>
      <c r="AU90">
        <v>0.02</v>
      </c>
      <c r="AV90" s="3">
        <v>26.91</v>
      </c>
    </row>
    <row r="91" spans="2:53" x14ac:dyDescent="0.25">
      <c r="G91" s="59"/>
      <c r="H91">
        <v>0.96</v>
      </c>
      <c r="I91">
        <f t="shared" si="2"/>
        <v>0.55882352941176472</v>
      </c>
      <c r="J91">
        <v>3.69</v>
      </c>
      <c r="K91" s="3">
        <v>3.68</v>
      </c>
      <c r="L91" s="59"/>
      <c r="M91">
        <v>0.64</v>
      </c>
      <c r="N91">
        <f t="shared" si="3"/>
        <v>0.65227470298464219</v>
      </c>
      <c r="O91">
        <v>9.02</v>
      </c>
      <c r="P91" s="3">
        <v>9.3000000000000007</v>
      </c>
      <c r="Q91" s="59"/>
      <c r="R91">
        <v>0.38400000000000001</v>
      </c>
      <c r="S91">
        <f t="shared" si="4"/>
        <v>0.7478329393223011</v>
      </c>
      <c r="T91">
        <v>21.59</v>
      </c>
      <c r="U91" s="3">
        <v>18.91</v>
      </c>
      <c r="V91" s="59"/>
      <c r="W91">
        <v>0.30000100000000002</v>
      </c>
      <c r="X91">
        <f t="shared" si="5"/>
        <v>0.92119810402638302</v>
      </c>
      <c r="Y91">
        <v>0.01</v>
      </c>
      <c r="Z91">
        <v>25.71</v>
      </c>
      <c r="AI91">
        <v>0.8</v>
      </c>
      <c r="AJ91">
        <f t="shared" si="7"/>
        <v>0.74353943786409393</v>
      </c>
      <c r="AK91">
        <v>7.02</v>
      </c>
      <c r="AL91" s="3">
        <v>7.18</v>
      </c>
      <c r="AN91">
        <v>0.42500100000000002</v>
      </c>
      <c r="AO91">
        <f t="shared" si="8"/>
        <v>0.91686010548789809</v>
      </c>
      <c r="AP91">
        <v>0.15</v>
      </c>
      <c r="AQ91" s="3">
        <v>23.32</v>
      </c>
      <c r="AS91">
        <v>0.375</v>
      </c>
      <c r="AT91">
        <f t="shared" si="9"/>
        <v>1</v>
      </c>
      <c r="AU91">
        <v>0</v>
      </c>
      <c r="AV91" s="3">
        <v>26.65</v>
      </c>
    </row>
    <row r="92" spans="2:53" x14ac:dyDescent="0.25">
      <c r="G92" s="59"/>
      <c r="H92">
        <v>1.02</v>
      </c>
      <c r="I92">
        <f t="shared" si="2"/>
        <v>0.60784313725490202</v>
      </c>
      <c r="J92">
        <v>3.15</v>
      </c>
      <c r="K92" s="3">
        <v>3.66</v>
      </c>
      <c r="L92" s="59"/>
      <c r="M92">
        <v>0.68</v>
      </c>
      <c r="N92">
        <f t="shared" si="3"/>
        <v>0.71022891915386854</v>
      </c>
      <c r="O92">
        <v>7.74</v>
      </c>
      <c r="P92" s="3">
        <v>9.24</v>
      </c>
      <c r="Q92" s="59"/>
      <c r="R92">
        <v>0.40799999999999997</v>
      </c>
      <c r="S92">
        <f t="shared" si="4"/>
        <v>0.81087470449172572</v>
      </c>
      <c r="T92">
        <v>4.99</v>
      </c>
      <c r="U92" s="3">
        <v>18.79</v>
      </c>
      <c r="V92" s="59"/>
      <c r="W92">
        <v>0.32000099999999998</v>
      </c>
      <c r="X92">
        <f t="shared" si="5"/>
        <v>1</v>
      </c>
      <c r="Y92">
        <v>0</v>
      </c>
      <c r="Z92">
        <v>24.76</v>
      </c>
      <c r="AI92">
        <v>0.85</v>
      </c>
      <c r="AJ92">
        <f t="shared" si="7"/>
        <v>0.80765457839807053</v>
      </c>
      <c r="AK92">
        <v>6.89</v>
      </c>
      <c r="AL92" s="3">
        <v>7.16</v>
      </c>
      <c r="AN92">
        <v>0.45000099999999998</v>
      </c>
      <c r="AO92">
        <f t="shared" si="8"/>
        <v>1</v>
      </c>
      <c r="AP92">
        <v>0</v>
      </c>
      <c r="AQ92" s="3">
        <v>22.63</v>
      </c>
      <c r="AV92" s="3"/>
    </row>
    <row r="93" spans="2:53" x14ac:dyDescent="0.25">
      <c r="G93" s="59"/>
      <c r="H93">
        <v>1.08</v>
      </c>
      <c r="I93">
        <f t="shared" si="2"/>
        <v>0.65686274509803921</v>
      </c>
      <c r="J93">
        <v>3.72</v>
      </c>
      <c r="K93" s="3">
        <v>3.64</v>
      </c>
      <c r="L93" s="59"/>
      <c r="M93">
        <v>0.72</v>
      </c>
      <c r="N93">
        <f t="shared" si="3"/>
        <v>0.76818313532309468</v>
      </c>
      <c r="O93">
        <v>7.62</v>
      </c>
      <c r="P93" s="3">
        <v>9.08</v>
      </c>
      <c r="Q93" s="59"/>
      <c r="R93">
        <v>0.432</v>
      </c>
      <c r="S93">
        <f t="shared" si="4"/>
        <v>0.87391646966115055</v>
      </c>
      <c r="T93">
        <v>6.16</v>
      </c>
      <c r="U93" s="3">
        <v>17.79</v>
      </c>
      <c r="V93" s="59"/>
      <c r="AI93">
        <v>0.9</v>
      </c>
      <c r="AJ93">
        <f t="shared" si="7"/>
        <v>0.87176971893204713</v>
      </c>
      <c r="AK93">
        <v>7</v>
      </c>
      <c r="AL93" s="3">
        <v>7.15</v>
      </c>
      <c r="AQ93" s="3"/>
      <c r="AV93" s="3"/>
    </row>
    <row r="94" spans="2:53" x14ac:dyDescent="0.25">
      <c r="G94" s="59"/>
      <c r="H94">
        <v>1.1399999999999999</v>
      </c>
      <c r="I94">
        <f t="shared" si="2"/>
        <v>0.70588235294117641</v>
      </c>
      <c r="J94">
        <v>3.14</v>
      </c>
      <c r="K94" s="3">
        <v>3.62</v>
      </c>
      <c r="L94" s="59"/>
      <c r="M94">
        <v>0.76</v>
      </c>
      <c r="N94">
        <f t="shared" si="3"/>
        <v>0.82613735149232104</v>
      </c>
      <c r="O94">
        <v>9.93</v>
      </c>
      <c r="P94" s="3">
        <v>9.08</v>
      </c>
      <c r="Q94" s="59"/>
      <c r="R94">
        <v>0.45600000000000002</v>
      </c>
      <c r="S94">
        <f t="shared" si="4"/>
        <v>0.93695823483057539</v>
      </c>
      <c r="T94">
        <v>0.98</v>
      </c>
      <c r="U94" s="3">
        <v>16.84</v>
      </c>
      <c r="V94" s="59"/>
      <c r="AI94">
        <v>0.95</v>
      </c>
      <c r="AJ94">
        <f t="shared" si="7"/>
        <v>0.9358848594660234</v>
      </c>
      <c r="AK94">
        <v>7.27</v>
      </c>
      <c r="AL94" s="3">
        <v>7.15</v>
      </c>
      <c r="AQ94" s="3"/>
      <c r="AV94" s="3"/>
    </row>
    <row r="95" spans="2:53" x14ac:dyDescent="0.25">
      <c r="G95" s="59"/>
      <c r="H95">
        <v>1.2</v>
      </c>
      <c r="I95">
        <f t="shared" si="2"/>
        <v>0.75490196078431371</v>
      </c>
      <c r="J95">
        <v>3.69</v>
      </c>
      <c r="K95" s="3">
        <v>3.61</v>
      </c>
      <c r="L95" s="59"/>
      <c r="M95">
        <v>0.8</v>
      </c>
      <c r="N95">
        <f t="shared" si="3"/>
        <v>0.8840915676615474</v>
      </c>
      <c r="O95">
        <v>11.4</v>
      </c>
      <c r="P95" s="3">
        <v>9.17</v>
      </c>
      <c r="Q95" s="59"/>
      <c r="R95">
        <v>0.48</v>
      </c>
      <c r="S95">
        <f t="shared" si="4"/>
        <v>1</v>
      </c>
      <c r="T95">
        <v>0</v>
      </c>
      <c r="U95" s="3">
        <v>15.83</v>
      </c>
      <c r="V95" s="59"/>
      <c r="AI95">
        <v>1</v>
      </c>
      <c r="AJ95">
        <f t="shared" si="7"/>
        <v>1</v>
      </c>
      <c r="AK95">
        <v>7.38</v>
      </c>
      <c r="AL95" s="3">
        <v>7.17</v>
      </c>
      <c r="AV95" s="3"/>
    </row>
    <row r="96" spans="2:53" x14ac:dyDescent="0.25">
      <c r="G96" s="59"/>
      <c r="H96">
        <v>1.26</v>
      </c>
      <c r="I96">
        <f t="shared" si="2"/>
        <v>0.80392156862745101</v>
      </c>
      <c r="J96">
        <v>3.24</v>
      </c>
      <c r="K96" s="3">
        <v>3.6</v>
      </c>
      <c r="L96" s="59"/>
      <c r="M96">
        <v>0.84</v>
      </c>
      <c r="N96">
        <f t="shared" si="3"/>
        <v>0.94204578383077364</v>
      </c>
      <c r="O96">
        <v>2.87</v>
      </c>
      <c r="P96" s="3">
        <v>9.2100000000000009</v>
      </c>
      <c r="V96" s="59"/>
      <c r="AV96" s="3"/>
    </row>
    <row r="97" spans="7:22" x14ac:dyDescent="0.25">
      <c r="G97" s="59"/>
      <c r="H97">
        <v>1.32</v>
      </c>
      <c r="I97">
        <f t="shared" si="2"/>
        <v>0.85294117647058831</v>
      </c>
      <c r="J97">
        <v>3.52</v>
      </c>
      <c r="K97" s="3">
        <v>3.59</v>
      </c>
      <c r="L97" s="59"/>
      <c r="M97">
        <v>0.88</v>
      </c>
      <c r="N97">
        <f t="shared" si="3"/>
        <v>1</v>
      </c>
      <c r="O97">
        <v>0</v>
      </c>
      <c r="P97" s="3">
        <v>8.94</v>
      </c>
      <c r="V97" s="59"/>
    </row>
    <row r="98" spans="7:22" x14ac:dyDescent="0.25">
      <c r="G98" s="59"/>
      <c r="H98">
        <v>1.38</v>
      </c>
      <c r="I98">
        <f t="shared" si="2"/>
        <v>0.90196078431372539</v>
      </c>
      <c r="J98">
        <v>3.47</v>
      </c>
      <c r="K98" s="3">
        <v>3.58</v>
      </c>
      <c r="V98" s="59"/>
    </row>
    <row r="99" spans="7:22" x14ac:dyDescent="0.25">
      <c r="G99" s="59"/>
      <c r="H99">
        <v>1.5</v>
      </c>
      <c r="I99">
        <f t="shared" si="2"/>
        <v>1</v>
      </c>
      <c r="J99">
        <v>3.7</v>
      </c>
      <c r="K99" s="3">
        <v>3.57</v>
      </c>
      <c r="V99" s="59"/>
    </row>
    <row r="100" spans="7:22" x14ac:dyDescent="0.25">
      <c r="V100" s="59"/>
    </row>
    <row r="101" spans="7:22" x14ac:dyDescent="0.25">
      <c r="V101" s="59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aveData">
                <anchor moveWithCells="1" sizeWithCells="1">
                  <from>
                    <xdr:col>11</xdr:col>
                    <xdr:colOff>371475</xdr:colOff>
                    <xdr:row>74</xdr:row>
                    <xdr:rowOff>47625</xdr:rowOff>
                  </from>
                  <to>
                    <xdr:col>13</xdr:col>
                    <xdr:colOff>66675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aveData">
                <anchor moveWithCells="1" sizeWithCells="1">
                  <from>
                    <xdr:col>37</xdr:col>
                    <xdr:colOff>533400</xdr:colOff>
                    <xdr:row>74</xdr:row>
                    <xdr:rowOff>0</xdr:rowOff>
                  </from>
                  <to>
                    <xdr:col>39</xdr:col>
                    <xdr:colOff>561975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gnWaveData">
                <anchor moveWithCells="1" sizeWithCells="1">
                  <from>
                    <xdr:col>35</xdr:col>
                    <xdr:colOff>381000</xdr:colOff>
                    <xdr:row>74</xdr:row>
                    <xdr:rowOff>19050</xdr:rowOff>
                  </from>
                  <to>
                    <xdr:col>37</xdr:col>
                    <xdr:colOff>142875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gnWaveData">
                <anchor moveWithCells="1" sizeWithCells="1">
                  <from>
                    <xdr:col>9</xdr:col>
                    <xdr:colOff>342900</xdr:colOff>
                    <xdr:row>74</xdr:row>
                    <xdr:rowOff>142875</xdr:rowOff>
                  </from>
                  <to>
                    <xdr:col>11</xdr:col>
                    <xdr:colOff>104775</xdr:colOff>
                    <xdr:row>76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7F47-CBB8-4962-A50C-2146AC268A42}">
  <sheetPr codeName="Sheet6"/>
  <dimension ref="A1:R56"/>
  <sheetViews>
    <sheetView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A13" sqref="A1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0.7109375" bestFit="1" customWidth="1"/>
    <col min="4" max="4" width="10.28515625" bestFit="1" customWidth="1"/>
    <col min="5" max="5" width="8.28515625" customWidth="1"/>
    <col min="6" max="6" width="8.140625" customWidth="1"/>
    <col min="7" max="7" width="14.85546875" bestFit="1" customWidth="1"/>
    <col min="8" max="8" width="10.85546875" bestFit="1" customWidth="1"/>
    <col min="10" max="10" width="10.85546875" bestFit="1" customWidth="1"/>
    <col min="12" max="12" width="12.42578125" bestFit="1" customWidth="1"/>
    <col min="13" max="13" width="10.28515625" customWidth="1"/>
    <col min="15" max="15" width="13.28515625" bestFit="1" customWidth="1"/>
    <col min="16" max="16" width="24.5703125" bestFit="1" customWidth="1"/>
    <col min="17" max="17" width="14.7109375" customWidth="1"/>
    <col min="18" max="18" width="49.85546875" customWidth="1"/>
  </cols>
  <sheetData>
    <row r="1" spans="1:18" ht="18.75" x14ac:dyDescent="0.3">
      <c r="A1" s="20" t="s">
        <v>135</v>
      </c>
      <c r="B1" s="8" t="s">
        <v>43</v>
      </c>
      <c r="C1" s="8"/>
      <c r="D1" s="3"/>
      <c r="E1" t="s">
        <v>7</v>
      </c>
      <c r="J1" s="8"/>
      <c r="K1" s="8"/>
      <c r="L1" s="3" t="s">
        <v>137</v>
      </c>
      <c r="M1" t="s">
        <v>8</v>
      </c>
    </row>
    <row r="2" spans="1:18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3</v>
      </c>
      <c r="K2" s="8" t="s">
        <v>4</v>
      </c>
      <c r="L2" s="3" t="s">
        <v>19</v>
      </c>
      <c r="M2" s="4" t="s">
        <v>9</v>
      </c>
      <c r="N2" s="4" t="s">
        <v>10</v>
      </c>
      <c r="O2" s="4" t="s">
        <v>36</v>
      </c>
      <c r="P2" s="4" t="s">
        <v>122</v>
      </c>
      <c r="Q2" s="4" t="s">
        <v>57</v>
      </c>
      <c r="R2" s="4" t="s">
        <v>21</v>
      </c>
    </row>
    <row r="3" spans="1:18" x14ac:dyDescent="0.25">
      <c r="A3" s="3" t="s">
        <v>11</v>
      </c>
      <c r="B3" s="8"/>
      <c r="C3" s="8"/>
      <c r="D3" s="3"/>
      <c r="E3">
        <v>101</v>
      </c>
      <c r="F3">
        <v>601</v>
      </c>
      <c r="G3">
        <v>400</v>
      </c>
      <c r="H3" s="1" t="s">
        <v>6</v>
      </c>
      <c r="I3">
        <v>1</v>
      </c>
      <c r="J3">
        <v>40</v>
      </c>
      <c r="K3" s="9">
        <v>100000000</v>
      </c>
      <c r="L3" s="3">
        <v>300000</v>
      </c>
      <c r="M3" s="5" t="s">
        <v>6</v>
      </c>
      <c r="N3" s="4">
        <v>1.7</v>
      </c>
      <c r="O3" t="s">
        <v>6</v>
      </c>
      <c r="Q3" s="4"/>
    </row>
    <row r="4" spans="1:18" x14ac:dyDescent="0.25">
      <c r="A4" s="3" t="s">
        <v>12</v>
      </c>
      <c r="B4" s="8"/>
      <c r="C4" s="8"/>
      <c r="D4" s="3"/>
      <c r="E4">
        <v>101</v>
      </c>
      <c r="F4">
        <v>601</v>
      </c>
      <c r="G4">
        <v>400</v>
      </c>
      <c r="H4" s="1" t="s">
        <v>6</v>
      </c>
      <c r="I4">
        <v>1</v>
      </c>
      <c r="J4">
        <v>40</v>
      </c>
      <c r="K4" s="9">
        <v>100000000</v>
      </c>
      <c r="L4" s="3">
        <v>30000</v>
      </c>
      <c r="M4" t="s">
        <v>6</v>
      </c>
      <c r="N4">
        <v>0</v>
      </c>
      <c r="O4" t="s">
        <v>6</v>
      </c>
      <c r="Q4" s="4"/>
    </row>
    <row r="5" spans="1:18" x14ac:dyDescent="0.25">
      <c r="A5" s="3" t="s">
        <v>13</v>
      </c>
      <c r="B5" s="8"/>
      <c r="C5" s="8"/>
      <c r="D5" s="3"/>
      <c r="E5">
        <v>101</v>
      </c>
      <c r="F5">
        <v>601</v>
      </c>
      <c r="G5">
        <v>400</v>
      </c>
      <c r="H5" s="1" t="s">
        <v>6</v>
      </c>
      <c r="I5">
        <v>1</v>
      </c>
      <c r="J5">
        <v>40</v>
      </c>
      <c r="K5" s="9">
        <v>100000000</v>
      </c>
      <c r="L5" s="3">
        <v>1200</v>
      </c>
      <c r="M5" t="s">
        <v>6</v>
      </c>
      <c r="N5">
        <v>0</v>
      </c>
      <c r="O5" t="s">
        <v>6</v>
      </c>
      <c r="Q5" s="4"/>
    </row>
    <row r="6" spans="1:18" x14ac:dyDescent="0.25">
      <c r="A6" s="3" t="s">
        <v>14</v>
      </c>
      <c r="B6" s="8"/>
      <c r="C6" s="8"/>
      <c r="D6" s="3"/>
      <c r="E6">
        <v>101</v>
      </c>
      <c r="F6">
        <v>601</v>
      </c>
      <c r="G6">
        <v>400</v>
      </c>
      <c r="H6" s="1" t="s">
        <v>6</v>
      </c>
      <c r="I6">
        <v>1</v>
      </c>
      <c r="J6">
        <v>40</v>
      </c>
      <c r="K6" s="9">
        <v>1000000</v>
      </c>
      <c r="L6" s="3">
        <v>30000</v>
      </c>
      <c r="M6" t="s">
        <v>6</v>
      </c>
      <c r="N6">
        <v>0</v>
      </c>
      <c r="O6" t="s">
        <v>6</v>
      </c>
      <c r="Q6" s="4"/>
    </row>
    <row r="7" spans="1:18" x14ac:dyDescent="0.25">
      <c r="A7" s="3" t="s">
        <v>15</v>
      </c>
      <c r="B7" s="8"/>
      <c r="C7" s="8"/>
      <c r="D7" s="3"/>
      <c r="E7">
        <v>101</v>
      </c>
      <c r="F7">
        <v>601</v>
      </c>
      <c r="G7">
        <v>400</v>
      </c>
      <c r="H7" s="1" t="s">
        <v>6</v>
      </c>
      <c r="I7">
        <v>1</v>
      </c>
      <c r="J7">
        <v>40</v>
      </c>
      <c r="K7" s="9">
        <v>10000000</v>
      </c>
      <c r="L7" s="3">
        <v>300000</v>
      </c>
      <c r="M7" t="s">
        <v>6</v>
      </c>
      <c r="N7">
        <v>0</v>
      </c>
      <c r="O7" t="s">
        <v>6</v>
      </c>
      <c r="Q7" s="4"/>
    </row>
    <row r="8" spans="1:18" x14ac:dyDescent="0.25">
      <c r="A8" s="3" t="s">
        <v>16</v>
      </c>
      <c r="B8" s="8"/>
      <c r="C8" s="8"/>
      <c r="D8" s="3"/>
      <c r="E8">
        <v>101</v>
      </c>
      <c r="F8">
        <v>601</v>
      </c>
      <c r="G8">
        <v>400</v>
      </c>
      <c r="H8" s="1" t="s">
        <v>6</v>
      </c>
      <c r="I8">
        <v>1</v>
      </c>
      <c r="J8">
        <v>70</v>
      </c>
      <c r="K8" s="9">
        <v>100000000</v>
      </c>
      <c r="L8" s="3">
        <v>300000</v>
      </c>
      <c r="M8" t="s">
        <v>6</v>
      </c>
      <c r="N8">
        <v>0</v>
      </c>
      <c r="O8" t="s">
        <v>6</v>
      </c>
    </row>
    <row r="9" spans="1:18" x14ac:dyDescent="0.25">
      <c r="A9" s="3" t="s">
        <v>17</v>
      </c>
      <c r="B9" s="8"/>
      <c r="C9" s="8"/>
      <c r="D9" s="3"/>
      <c r="E9">
        <v>101</v>
      </c>
      <c r="F9">
        <v>601</v>
      </c>
      <c r="G9">
        <v>400</v>
      </c>
      <c r="H9" s="1" t="s">
        <v>6</v>
      </c>
      <c r="I9">
        <v>1</v>
      </c>
      <c r="J9">
        <v>170</v>
      </c>
      <c r="K9" s="9">
        <v>100000000</v>
      </c>
      <c r="L9" s="3">
        <v>300000</v>
      </c>
      <c r="M9" t="s">
        <v>6</v>
      </c>
      <c r="N9">
        <v>0</v>
      </c>
      <c r="O9" t="s">
        <v>6</v>
      </c>
    </row>
    <row r="10" spans="1:18" x14ac:dyDescent="0.25">
      <c r="A10" s="6" t="s">
        <v>107</v>
      </c>
      <c r="B10" s="8"/>
      <c r="C10" s="8"/>
      <c r="D10" s="3"/>
      <c r="J10" s="8"/>
      <c r="K10" s="8"/>
      <c r="L10" s="3"/>
      <c r="Q10" s="4"/>
    </row>
    <row r="11" spans="1:18" x14ac:dyDescent="0.25">
      <c r="A11" s="16" t="s">
        <v>108</v>
      </c>
      <c r="B11" s="8"/>
      <c r="C11" s="8"/>
      <c r="D11" s="3"/>
      <c r="J11" s="8"/>
      <c r="K11" s="8"/>
      <c r="L11" s="3"/>
      <c r="Q11" s="4"/>
    </row>
    <row r="12" spans="1:18" x14ac:dyDescent="0.25">
      <c r="A12" s="3"/>
      <c r="B12" s="8">
        <v>1523</v>
      </c>
      <c r="C12" s="8">
        <v>625</v>
      </c>
      <c r="D12" s="3">
        <v>156</v>
      </c>
      <c r="E12" s="8">
        <v>101</v>
      </c>
      <c r="F12" s="8">
        <v>601</v>
      </c>
      <c r="G12">
        <v>200</v>
      </c>
      <c r="H12">
        <v>1200</v>
      </c>
      <c r="I12" s="1" t="s">
        <v>6</v>
      </c>
      <c r="J12">
        <v>70</v>
      </c>
      <c r="K12" s="2">
        <v>4890000</v>
      </c>
      <c r="L12" s="14">
        <v>4.7</v>
      </c>
      <c r="M12" t="s">
        <v>79</v>
      </c>
      <c r="N12" t="s">
        <v>79</v>
      </c>
      <c r="O12" t="s">
        <v>79</v>
      </c>
      <c r="Q12" s="4"/>
      <c r="R12" t="s">
        <v>96</v>
      </c>
    </row>
    <row r="13" spans="1:18" x14ac:dyDescent="0.25">
      <c r="A13" s="3" t="s">
        <v>74</v>
      </c>
      <c r="B13" s="8">
        <v>1523</v>
      </c>
      <c r="C13" s="8">
        <v>625</v>
      </c>
      <c r="D13" s="3">
        <v>156</v>
      </c>
      <c r="E13" s="8">
        <v>101</v>
      </c>
      <c r="F13" s="8">
        <v>601</v>
      </c>
      <c r="G13">
        <v>200</v>
      </c>
      <c r="H13" t="s">
        <v>6</v>
      </c>
      <c r="I13" s="1">
        <v>0.8</v>
      </c>
      <c r="J13" s="8">
        <v>48</v>
      </c>
      <c r="K13" s="2">
        <v>4890000</v>
      </c>
      <c r="L13" s="14">
        <v>4.7</v>
      </c>
      <c r="M13">
        <v>0.48</v>
      </c>
      <c r="N13">
        <v>19.3</v>
      </c>
      <c r="O13">
        <v>6800</v>
      </c>
      <c r="P13" s="2">
        <v>800000</v>
      </c>
      <c r="Q13" s="4"/>
      <c r="R13" t="s">
        <v>82</v>
      </c>
    </row>
    <row r="14" spans="1:18" x14ac:dyDescent="0.25">
      <c r="A14" s="3" t="s">
        <v>75</v>
      </c>
      <c r="B14" s="8">
        <v>3808</v>
      </c>
      <c r="C14" s="8">
        <v>625</v>
      </c>
      <c r="D14" s="3">
        <v>156</v>
      </c>
      <c r="E14" s="8">
        <v>101</v>
      </c>
      <c r="F14" s="8">
        <v>601</v>
      </c>
      <c r="G14">
        <v>200</v>
      </c>
      <c r="H14">
        <v>1200</v>
      </c>
      <c r="I14" s="1" t="s">
        <v>6</v>
      </c>
      <c r="J14" s="8">
        <v>48</v>
      </c>
      <c r="K14" s="2">
        <v>4890000</v>
      </c>
      <c r="L14" s="14">
        <v>4.7</v>
      </c>
      <c r="M14">
        <v>0.67</v>
      </c>
      <c r="N14">
        <v>12.7</v>
      </c>
      <c r="O14">
        <v>7800</v>
      </c>
      <c r="P14" s="2">
        <v>700000</v>
      </c>
      <c r="Q14" s="4"/>
      <c r="R14" t="s">
        <v>83</v>
      </c>
    </row>
    <row r="15" spans="1:18" x14ac:dyDescent="0.25">
      <c r="A15" s="3"/>
      <c r="B15" s="8">
        <v>1523</v>
      </c>
      <c r="C15" s="8">
        <v>625</v>
      </c>
      <c r="D15" s="3">
        <v>156</v>
      </c>
      <c r="E15" s="8">
        <v>101</v>
      </c>
      <c r="F15" s="8">
        <v>601</v>
      </c>
      <c r="G15">
        <v>200</v>
      </c>
      <c r="H15">
        <v>1200</v>
      </c>
      <c r="I15" s="1" t="s">
        <v>6</v>
      </c>
      <c r="J15">
        <v>70</v>
      </c>
      <c r="K15" s="9">
        <v>2200000000</v>
      </c>
      <c r="L15" s="14">
        <v>4.7</v>
      </c>
      <c r="M15" t="s">
        <v>42</v>
      </c>
      <c r="N15" t="s">
        <v>42</v>
      </c>
      <c r="O15" t="s">
        <v>42</v>
      </c>
      <c r="Q15" s="4"/>
      <c r="R15" t="s">
        <v>84</v>
      </c>
    </row>
    <row r="16" spans="1:18" x14ac:dyDescent="0.25">
      <c r="A16" s="3"/>
      <c r="B16" s="8">
        <v>2020</v>
      </c>
      <c r="C16" s="8">
        <v>640</v>
      </c>
      <c r="D16" s="3">
        <v>0.6</v>
      </c>
      <c r="E16" s="8">
        <v>101</v>
      </c>
      <c r="F16" s="8">
        <v>601</v>
      </c>
      <c r="G16">
        <v>200</v>
      </c>
      <c r="H16">
        <v>1200</v>
      </c>
      <c r="I16" s="1" t="s">
        <v>6</v>
      </c>
      <c r="J16">
        <v>106.2</v>
      </c>
      <c r="K16" s="9">
        <v>2200000000</v>
      </c>
      <c r="L16" s="14">
        <v>7.61</v>
      </c>
      <c r="M16" t="s">
        <v>42</v>
      </c>
      <c r="N16" t="s">
        <v>42</v>
      </c>
      <c r="O16" t="s">
        <v>42</v>
      </c>
      <c r="Q16" s="4"/>
      <c r="R16" t="s">
        <v>78</v>
      </c>
    </row>
    <row r="17" spans="1:18" x14ac:dyDescent="0.25">
      <c r="A17" s="3"/>
      <c r="B17" s="8">
        <v>1523</v>
      </c>
      <c r="C17" s="8">
        <v>625</v>
      </c>
      <c r="D17" s="3">
        <v>0.6</v>
      </c>
      <c r="E17" s="8">
        <v>101</v>
      </c>
      <c r="F17" s="8">
        <v>601</v>
      </c>
      <c r="G17">
        <v>200</v>
      </c>
      <c r="H17">
        <v>1200</v>
      </c>
      <c r="I17" s="1" t="s">
        <v>6</v>
      </c>
      <c r="J17" s="8">
        <v>48</v>
      </c>
      <c r="K17" s="2">
        <v>4890000</v>
      </c>
      <c r="L17" s="14">
        <v>4.7</v>
      </c>
      <c r="M17" t="s">
        <v>42</v>
      </c>
      <c r="N17" t="s">
        <v>42</v>
      </c>
      <c r="O17" t="s">
        <v>42</v>
      </c>
      <c r="Q17" s="4"/>
      <c r="R17" s="4" t="s">
        <v>80</v>
      </c>
    </row>
    <row r="18" spans="1:18" x14ac:dyDescent="0.25">
      <c r="A18" s="3" t="s">
        <v>73</v>
      </c>
      <c r="B18" s="8">
        <v>1523</v>
      </c>
      <c r="C18" s="8">
        <v>625</v>
      </c>
      <c r="D18" s="3">
        <v>78</v>
      </c>
      <c r="E18" s="8">
        <v>101</v>
      </c>
      <c r="F18" s="8">
        <v>601</v>
      </c>
      <c r="G18">
        <v>200</v>
      </c>
      <c r="H18">
        <v>1200</v>
      </c>
      <c r="I18" s="1" t="s">
        <v>6</v>
      </c>
      <c r="J18" s="8">
        <v>48</v>
      </c>
      <c r="K18" s="2">
        <v>4890000</v>
      </c>
      <c r="L18" s="14">
        <v>4.7</v>
      </c>
      <c r="M18">
        <v>0.18</v>
      </c>
      <c r="N18">
        <v>14.2</v>
      </c>
      <c r="O18">
        <v>7800</v>
      </c>
      <c r="P18" s="2">
        <v>900000</v>
      </c>
      <c r="Q18" s="4"/>
      <c r="R18" s="4" t="s">
        <v>81</v>
      </c>
    </row>
    <row r="19" spans="1:18" x14ac:dyDescent="0.25">
      <c r="A19" s="3" t="s">
        <v>92</v>
      </c>
      <c r="B19" s="8">
        <v>1523</v>
      </c>
      <c r="C19" s="8">
        <v>625</v>
      </c>
      <c r="D19" s="3">
        <v>78</v>
      </c>
      <c r="E19" s="8">
        <v>101</v>
      </c>
      <c r="F19" s="8">
        <v>601</v>
      </c>
      <c r="G19">
        <v>200</v>
      </c>
      <c r="H19" t="s">
        <v>6</v>
      </c>
      <c r="I19" s="1">
        <v>0.8</v>
      </c>
      <c r="J19" s="8">
        <v>70</v>
      </c>
      <c r="K19" s="2">
        <v>4890000</v>
      </c>
      <c r="L19" s="14">
        <v>4.7</v>
      </c>
      <c r="M19">
        <v>0.85</v>
      </c>
      <c r="N19">
        <v>10.6</v>
      </c>
      <c r="O19">
        <v>7800</v>
      </c>
      <c r="P19" s="2">
        <v>650000</v>
      </c>
      <c r="Q19" s="4"/>
      <c r="R19" s="4" t="s">
        <v>90</v>
      </c>
    </row>
    <row r="20" spans="1:18" x14ac:dyDescent="0.25">
      <c r="A20" s="3" t="s">
        <v>93</v>
      </c>
      <c r="B20" s="8">
        <v>1523</v>
      </c>
      <c r="C20" s="8">
        <v>625</v>
      </c>
      <c r="D20" s="3">
        <v>78</v>
      </c>
      <c r="E20" s="8">
        <v>101</v>
      </c>
      <c r="F20" s="8">
        <v>601</v>
      </c>
      <c r="G20">
        <v>200</v>
      </c>
      <c r="H20">
        <v>1200</v>
      </c>
      <c r="I20" s="1" t="s">
        <v>6</v>
      </c>
      <c r="J20" s="8">
        <v>48</v>
      </c>
      <c r="K20" s="9">
        <v>141000</v>
      </c>
      <c r="L20" s="14">
        <v>4.7</v>
      </c>
      <c r="M20">
        <v>1.01</v>
      </c>
      <c r="N20">
        <v>0</v>
      </c>
      <c r="O20">
        <v>1200</v>
      </c>
      <c r="Q20" s="4"/>
      <c r="R20" s="4" t="s">
        <v>95</v>
      </c>
    </row>
    <row r="21" spans="1:18" x14ac:dyDescent="0.25">
      <c r="A21" s="3" t="s">
        <v>85</v>
      </c>
      <c r="B21" s="8">
        <v>1523</v>
      </c>
      <c r="C21" s="8">
        <v>625</v>
      </c>
      <c r="D21" s="3">
        <v>78</v>
      </c>
      <c r="E21" s="8">
        <v>101</v>
      </c>
      <c r="F21" s="8">
        <v>601</v>
      </c>
      <c r="G21">
        <v>200</v>
      </c>
      <c r="H21" t="s">
        <v>6</v>
      </c>
      <c r="I21" s="1">
        <v>0.8</v>
      </c>
      <c r="J21" s="8">
        <v>48</v>
      </c>
      <c r="K21" s="2">
        <v>4890000</v>
      </c>
      <c r="L21" s="14">
        <v>4.7</v>
      </c>
      <c r="M21">
        <v>0.18</v>
      </c>
      <c r="N21">
        <v>14.7</v>
      </c>
      <c r="O21">
        <v>7800</v>
      </c>
      <c r="P21" s="2">
        <v>1000000</v>
      </c>
      <c r="R21" s="4" t="s">
        <v>86</v>
      </c>
    </row>
    <row r="22" spans="1:18" x14ac:dyDescent="0.25">
      <c r="A22" s="3" t="s">
        <v>76</v>
      </c>
      <c r="B22" s="8">
        <v>2020</v>
      </c>
      <c r="C22" s="8">
        <v>625</v>
      </c>
      <c r="D22" s="3">
        <v>78</v>
      </c>
      <c r="E22" s="8">
        <v>101</v>
      </c>
      <c r="F22" s="8">
        <v>601</v>
      </c>
      <c r="G22">
        <v>200</v>
      </c>
      <c r="H22" t="s">
        <v>6</v>
      </c>
      <c r="I22" s="1">
        <v>0.8</v>
      </c>
      <c r="J22" s="8">
        <v>48</v>
      </c>
      <c r="K22" s="2">
        <v>4890000</v>
      </c>
      <c r="L22" s="14">
        <v>4.7</v>
      </c>
      <c r="M22">
        <v>0.22</v>
      </c>
      <c r="N22">
        <v>12.5</v>
      </c>
      <c r="O22">
        <v>7800</v>
      </c>
      <c r="P22" s="2">
        <v>1000000</v>
      </c>
      <c r="R22" s="4" t="s">
        <v>87</v>
      </c>
    </row>
    <row r="23" spans="1:18" x14ac:dyDescent="0.25">
      <c r="A23" s="3" t="s">
        <v>77</v>
      </c>
      <c r="B23" s="8">
        <v>2020</v>
      </c>
      <c r="C23" s="8">
        <v>625</v>
      </c>
      <c r="D23" s="3">
        <v>65</v>
      </c>
      <c r="E23" s="8">
        <v>101</v>
      </c>
      <c r="F23" s="8">
        <v>601</v>
      </c>
      <c r="G23">
        <v>200</v>
      </c>
      <c r="H23" t="s">
        <v>6</v>
      </c>
      <c r="I23" s="1">
        <v>0.8</v>
      </c>
      <c r="J23" s="8">
        <v>48</v>
      </c>
      <c r="K23" s="2">
        <v>4890000</v>
      </c>
      <c r="L23" s="14">
        <v>4.7</v>
      </c>
      <c r="M23">
        <v>0.18</v>
      </c>
      <c r="N23">
        <v>11.1</v>
      </c>
      <c r="O23">
        <v>7800</v>
      </c>
      <c r="P23" s="2">
        <v>900000</v>
      </c>
      <c r="R23" s="4" t="s">
        <v>88</v>
      </c>
    </row>
    <row r="24" spans="1:18" x14ac:dyDescent="0.25">
      <c r="A24" s="3" t="s">
        <v>89</v>
      </c>
      <c r="B24" s="8">
        <v>2020</v>
      </c>
      <c r="C24" s="8">
        <v>625</v>
      </c>
      <c r="D24" s="3">
        <v>65</v>
      </c>
      <c r="E24" s="8">
        <v>101</v>
      </c>
      <c r="F24" s="8">
        <v>601</v>
      </c>
      <c r="G24">
        <v>200</v>
      </c>
      <c r="H24" t="s">
        <v>6</v>
      </c>
      <c r="I24" s="1">
        <v>0.8</v>
      </c>
      <c r="J24" s="8">
        <v>70</v>
      </c>
      <c r="K24" s="2">
        <v>4890000</v>
      </c>
      <c r="L24" s="14">
        <v>4.7</v>
      </c>
      <c r="M24">
        <v>0.73</v>
      </c>
      <c r="N24">
        <v>8.1</v>
      </c>
      <c r="O24">
        <v>7800</v>
      </c>
      <c r="P24" s="2">
        <v>600000</v>
      </c>
      <c r="R24" s="4" t="s">
        <v>90</v>
      </c>
    </row>
    <row r="25" spans="1:18" x14ac:dyDescent="0.25">
      <c r="A25" s="10" t="s">
        <v>91</v>
      </c>
      <c r="B25" s="11">
        <v>1523</v>
      </c>
      <c r="C25" s="11">
        <v>625</v>
      </c>
      <c r="D25" s="10">
        <v>65</v>
      </c>
      <c r="E25" s="11">
        <v>101</v>
      </c>
      <c r="F25" s="11">
        <v>601</v>
      </c>
      <c r="G25" s="12">
        <v>200</v>
      </c>
      <c r="H25" s="12" t="s">
        <v>6</v>
      </c>
      <c r="I25" s="18">
        <v>0.8</v>
      </c>
      <c r="J25" s="11">
        <v>70</v>
      </c>
      <c r="K25" s="13">
        <v>4890000</v>
      </c>
      <c r="L25" s="19">
        <v>4.7</v>
      </c>
      <c r="M25" s="12">
        <v>0.62</v>
      </c>
      <c r="N25" s="12">
        <v>9.6</v>
      </c>
      <c r="O25" s="12">
        <v>7800</v>
      </c>
      <c r="P25" s="2">
        <v>500000</v>
      </c>
    </row>
    <row r="26" spans="1:18" x14ac:dyDescent="0.25">
      <c r="A26" s="3" t="s">
        <v>94</v>
      </c>
      <c r="B26" s="4">
        <v>1523</v>
      </c>
      <c r="C26" s="4">
        <v>625</v>
      </c>
      <c r="D26" s="3">
        <v>65</v>
      </c>
      <c r="E26" s="8">
        <v>101</v>
      </c>
      <c r="F26" s="8">
        <v>601</v>
      </c>
      <c r="G26">
        <v>200</v>
      </c>
      <c r="H26" t="s">
        <v>6</v>
      </c>
      <c r="I26" s="1">
        <v>0.8</v>
      </c>
      <c r="J26" s="8">
        <v>48</v>
      </c>
      <c r="K26" s="2">
        <v>4890000</v>
      </c>
      <c r="L26" s="14">
        <v>4.7</v>
      </c>
      <c r="M26">
        <v>0.15</v>
      </c>
      <c r="N26">
        <v>13.2</v>
      </c>
      <c r="O26">
        <v>7800</v>
      </c>
      <c r="P26" s="2">
        <v>1000000</v>
      </c>
    </row>
    <row r="27" spans="1:18" x14ac:dyDescent="0.25">
      <c r="A27" s="3" t="s">
        <v>97</v>
      </c>
      <c r="B27" s="8">
        <v>1523</v>
      </c>
      <c r="C27" s="8">
        <v>625</v>
      </c>
      <c r="D27" s="3">
        <v>100</v>
      </c>
      <c r="E27" s="8">
        <v>101</v>
      </c>
      <c r="F27" s="8">
        <v>601</v>
      </c>
      <c r="G27">
        <v>200</v>
      </c>
      <c r="H27" t="s">
        <v>6</v>
      </c>
      <c r="I27" s="1">
        <v>0.8</v>
      </c>
      <c r="J27" s="8">
        <v>48</v>
      </c>
      <c r="K27" s="2">
        <v>4890000</v>
      </c>
      <c r="L27" s="14">
        <v>4.7</v>
      </c>
      <c r="M27">
        <v>0.24</v>
      </c>
      <c r="N27">
        <v>16.7</v>
      </c>
      <c r="O27">
        <v>7800</v>
      </c>
      <c r="P27" s="2">
        <v>1000000</v>
      </c>
    </row>
    <row r="28" spans="1:18" x14ac:dyDescent="0.25">
      <c r="A28" s="3" t="s">
        <v>100</v>
      </c>
      <c r="B28" s="4">
        <v>1523</v>
      </c>
      <c r="C28" s="4">
        <v>625</v>
      </c>
      <c r="D28" s="3">
        <v>65</v>
      </c>
      <c r="E28" s="8">
        <v>101</v>
      </c>
      <c r="F28" s="8">
        <v>601</v>
      </c>
      <c r="G28">
        <v>200</v>
      </c>
      <c r="H28" t="s">
        <v>6</v>
      </c>
      <c r="I28" s="1">
        <v>0.8</v>
      </c>
      <c r="J28" s="8">
        <v>48</v>
      </c>
      <c r="K28" s="2">
        <v>4890000</v>
      </c>
      <c r="L28" s="14">
        <v>4</v>
      </c>
      <c r="M28">
        <v>0.17</v>
      </c>
      <c r="N28">
        <v>11.8</v>
      </c>
      <c r="O28">
        <v>7600</v>
      </c>
      <c r="P28" s="2">
        <v>800000</v>
      </c>
      <c r="Q28" t="s">
        <v>123</v>
      </c>
    </row>
    <row r="29" spans="1:18" x14ac:dyDescent="0.25">
      <c r="A29" s="3" t="s">
        <v>101</v>
      </c>
      <c r="B29" s="4">
        <v>1523</v>
      </c>
      <c r="C29" s="4">
        <v>625</v>
      </c>
      <c r="D29" s="3">
        <v>65</v>
      </c>
      <c r="E29" s="8">
        <v>101</v>
      </c>
      <c r="F29" s="8">
        <v>601</v>
      </c>
      <c r="G29">
        <v>200</v>
      </c>
      <c r="H29" t="s">
        <v>6</v>
      </c>
      <c r="I29" s="1">
        <v>0.8</v>
      </c>
      <c r="J29" s="8">
        <v>48</v>
      </c>
      <c r="K29" s="2">
        <v>4890000</v>
      </c>
      <c r="L29" s="14">
        <v>3.5</v>
      </c>
      <c r="M29">
        <v>0.18</v>
      </c>
      <c r="N29">
        <v>10.6</v>
      </c>
      <c r="O29">
        <v>5900</v>
      </c>
      <c r="P29" s="2">
        <v>700000</v>
      </c>
      <c r="Q29" t="s">
        <v>124</v>
      </c>
    </row>
    <row r="30" spans="1:18" x14ac:dyDescent="0.25">
      <c r="A30" s="3" t="s">
        <v>104</v>
      </c>
      <c r="B30" s="4">
        <v>1523</v>
      </c>
      <c r="C30" s="4">
        <v>625</v>
      </c>
      <c r="D30" s="3">
        <v>65</v>
      </c>
      <c r="E30" s="8">
        <v>101</v>
      </c>
      <c r="F30" s="8">
        <v>601</v>
      </c>
      <c r="G30">
        <v>200</v>
      </c>
      <c r="H30" t="s">
        <v>6</v>
      </c>
      <c r="I30" s="1">
        <v>0.8</v>
      </c>
      <c r="J30" s="8">
        <v>48</v>
      </c>
      <c r="K30" s="2">
        <v>4890000</v>
      </c>
      <c r="L30" s="14">
        <v>5</v>
      </c>
      <c r="M30">
        <v>0.15</v>
      </c>
      <c r="N30">
        <v>13.8</v>
      </c>
      <c r="O30">
        <v>8500</v>
      </c>
      <c r="P30" s="2">
        <v>1000000</v>
      </c>
      <c r="Q30" t="s">
        <v>125</v>
      </c>
    </row>
    <row r="31" spans="1:18" x14ac:dyDescent="0.25">
      <c r="A31" s="3" t="s">
        <v>106</v>
      </c>
      <c r="B31" s="4">
        <v>1523</v>
      </c>
      <c r="C31" s="4">
        <v>625</v>
      </c>
      <c r="D31" s="3">
        <v>156</v>
      </c>
      <c r="E31" s="8">
        <v>101</v>
      </c>
      <c r="F31" s="8">
        <v>601</v>
      </c>
      <c r="G31" s="4">
        <v>200</v>
      </c>
      <c r="H31" t="s">
        <v>6</v>
      </c>
      <c r="I31" s="1">
        <v>0.8</v>
      </c>
      <c r="J31" s="4">
        <v>70</v>
      </c>
      <c r="K31" s="2">
        <v>4890000</v>
      </c>
      <c r="L31" s="14">
        <v>4.7</v>
      </c>
      <c r="M31">
        <v>4.0999999999999996</v>
      </c>
      <c r="N31">
        <v>15.3</v>
      </c>
      <c r="O31">
        <v>7900</v>
      </c>
      <c r="P31" s="2">
        <v>600000</v>
      </c>
      <c r="Q31" t="s">
        <v>130</v>
      </c>
    </row>
    <row r="32" spans="1:18" x14ac:dyDescent="0.25">
      <c r="A32" s="3" t="s">
        <v>113</v>
      </c>
      <c r="B32" s="4">
        <v>1523</v>
      </c>
      <c r="C32" s="4">
        <v>625</v>
      </c>
      <c r="D32" s="3">
        <v>65</v>
      </c>
      <c r="E32" s="8">
        <v>101</v>
      </c>
      <c r="F32" s="8">
        <v>601</v>
      </c>
      <c r="G32" s="4">
        <v>200</v>
      </c>
      <c r="H32" t="s">
        <v>6</v>
      </c>
      <c r="I32" s="1">
        <v>0.8</v>
      </c>
      <c r="J32" s="4">
        <v>70</v>
      </c>
      <c r="K32" s="2">
        <v>4890000</v>
      </c>
      <c r="L32" s="14">
        <v>4</v>
      </c>
      <c r="M32">
        <v>0.67</v>
      </c>
      <c r="N32">
        <v>8.1999999999999993</v>
      </c>
      <c r="O32">
        <v>6600</v>
      </c>
      <c r="P32" s="2">
        <v>500000</v>
      </c>
      <c r="Q32" t="s">
        <v>131</v>
      </c>
    </row>
    <row r="33" spans="1:18" x14ac:dyDescent="0.25">
      <c r="A33" s="3" t="s">
        <v>114</v>
      </c>
      <c r="B33" s="4">
        <v>1523</v>
      </c>
      <c r="C33" s="4">
        <v>625</v>
      </c>
      <c r="D33" s="3">
        <v>65</v>
      </c>
      <c r="E33" s="8">
        <v>101</v>
      </c>
      <c r="F33" s="8">
        <v>601</v>
      </c>
      <c r="G33" s="4">
        <v>200</v>
      </c>
      <c r="H33" t="s">
        <v>6</v>
      </c>
      <c r="I33" s="1">
        <v>0.8</v>
      </c>
      <c r="J33" s="4">
        <v>70</v>
      </c>
      <c r="K33" s="2">
        <v>4890000</v>
      </c>
      <c r="L33" s="14">
        <v>5</v>
      </c>
      <c r="M33">
        <v>0.6</v>
      </c>
      <c r="N33">
        <v>10.1</v>
      </c>
      <c r="O33">
        <v>8100</v>
      </c>
      <c r="P33" s="2">
        <v>600000</v>
      </c>
      <c r="Q33" t="s">
        <v>117</v>
      </c>
    </row>
    <row r="34" spans="1:18" x14ac:dyDescent="0.25">
      <c r="A34" s="3" t="s">
        <v>118</v>
      </c>
      <c r="B34" s="8">
        <v>1523</v>
      </c>
      <c r="C34" s="8">
        <v>625</v>
      </c>
      <c r="D34" s="3">
        <v>100</v>
      </c>
      <c r="E34" s="8">
        <v>101</v>
      </c>
      <c r="F34" s="8">
        <v>601</v>
      </c>
      <c r="G34">
        <v>200</v>
      </c>
      <c r="H34" t="s">
        <v>6</v>
      </c>
      <c r="I34" s="1">
        <v>0.8</v>
      </c>
      <c r="J34" s="8">
        <v>70</v>
      </c>
      <c r="K34" s="2">
        <v>4890000</v>
      </c>
      <c r="L34" s="14">
        <v>4.7</v>
      </c>
      <c r="M34">
        <v>1.4</v>
      </c>
      <c r="N34">
        <v>12</v>
      </c>
      <c r="O34">
        <v>8000</v>
      </c>
      <c r="P34" s="2">
        <v>0</v>
      </c>
      <c r="Q34" t="s">
        <v>132</v>
      </c>
      <c r="R34" t="s">
        <v>133</v>
      </c>
    </row>
    <row r="35" spans="1:18" x14ac:dyDescent="0.25">
      <c r="A35" s="3" t="s">
        <v>119</v>
      </c>
      <c r="B35" s="4">
        <v>1523</v>
      </c>
      <c r="C35" s="4">
        <v>625</v>
      </c>
      <c r="D35" s="3">
        <v>65</v>
      </c>
      <c r="E35" s="8">
        <v>101</v>
      </c>
      <c r="F35" s="8">
        <v>601</v>
      </c>
      <c r="G35">
        <v>200</v>
      </c>
      <c r="H35" t="s">
        <v>6</v>
      </c>
      <c r="I35" s="1">
        <v>0.8</v>
      </c>
      <c r="J35" s="8">
        <v>70</v>
      </c>
      <c r="K35" s="2">
        <v>4890000</v>
      </c>
      <c r="L35" s="14">
        <v>3.5</v>
      </c>
      <c r="M35">
        <v>0.71</v>
      </c>
      <c r="N35">
        <v>7.2</v>
      </c>
      <c r="O35">
        <v>6000</v>
      </c>
      <c r="P35" s="2">
        <v>400000</v>
      </c>
      <c r="Q35" t="s">
        <v>134</v>
      </c>
    </row>
    <row r="36" spans="1:18" x14ac:dyDescent="0.25">
      <c r="A36" s="3"/>
      <c r="B36" s="4"/>
      <c r="C36" s="4"/>
      <c r="D36" s="3"/>
      <c r="E36" s="8"/>
      <c r="F36" s="8"/>
      <c r="I36" s="1"/>
      <c r="J36" s="8"/>
      <c r="K36" s="2"/>
      <c r="L36" s="14"/>
    </row>
    <row r="37" spans="1:18" x14ac:dyDescent="0.25">
      <c r="A37" s="17" t="s">
        <v>120</v>
      </c>
      <c r="B37" s="4"/>
      <c r="C37" s="4"/>
      <c r="D37" s="3"/>
      <c r="E37" s="8"/>
      <c r="F37" s="8"/>
      <c r="I37" s="1"/>
      <c r="J37" s="8"/>
      <c r="K37" s="2"/>
      <c r="L37" s="15"/>
    </row>
    <row r="38" spans="1:18" x14ac:dyDescent="0.25">
      <c r="A38" s="3">
        <v>1</v>
      </c>
      <c r="B38" s="4">
        <v>1523</v>
      </c>
      <c r="C38" s="4">
        <v>625</v>
      </c>
      <c r="D38" s="3">
        <v>65</v>
      </c>
      <c r="E38" s="8">
        <v>101</v>
      </c>
      <c r="F38" s="8">
        <v>601</v>
      </c>
      <c r="G38">
        <v>200</v>
      </c>
      <c r="H38" t="s">
        <v>6</v>
      </c>
      <c r="I38" s="1">
        <v>0.8</v>
      </c>
      <c r="J38" s="8">
        <v>70</v>
      </c>
      <c r="K38" s="2">
        <v>5000000</v>
      </c>
      <c r="L38" s="14">
        <v>4.7</v>
      </c>
      <c r="M38">
        <v>0.61</v>
      </c>
      <c r="N38">
        <v>9.6</v>
      </c>
      <c r="O38">
        <v>8000</v>
      </c>
      <c r="P38" s="2">
        <v>680000</v>
      </c>
      <c r="R38" t="s">
        <v>98</v>
      </c>
    </row>
    <row r="39" spans="1:18" x14ac:dyDescent="0.25">
      <c r="A39" s="3">
        <v>2</v>
      </c>
      <c r="B39" s="4">
        <v>1523</v>
      </c>
      <c r="C39" s="4">
        <v>625</v>
      </c>
      <c r="D39" s="3">
        <v>65</v>
      </c>
      <c r="E39" s="8">
        <v>101</v>
      </c>
      <c r="F39" s="8">
        <v>601</v>
      </c>
      <c r="G39">
        <v>200</v>
      </c>
      <c r="H39" t="s">
        <v>6</v>
      </c>
      <c r="I39" s="1">
        <v>0.8</v>
      </c>
      <c r="J39" s="8">
        <v>70</v>
      </c>
      <c r="K39" s="2">
        <v>5500000</v>
      </c>
      <c r="L39" s="14">
        <v>4.7</v>
      </c>
      <c r="M39">
        <v>0.59</v>
      </c>
      <c r="N39">
        <v>10.1</v>
      </c>
      <c r="O39">
        <v>8000</v>
      </c>
      <c r="P39" s="2">
        <v>700000</v>
      </c>
      <c r="Q39" t="s">
        <v>102</v>
      </c>
      <c r="R39" t="s">
        <v>99</v>
      </c>
    </row>
    <row r="40" spans="1:18" x14ac:dyDescent="0.25">
      <c r="A40" s="3">
        <v>3</v>
      </c>
      <c r="B40" s="4">
        <v>1523</v>
      </c>
      <c r="C40" s="4">
        <v>625</v>
      </c>
      <c r="D40" s="3">
        <v>65</v>
      </c>
      <c r="E40" s="8">
        <v>101</v>
      </c>
      <c r="F40" s="8">
        <v>601</v>
      </c>
      <c r="G40">
        <v>200</v>
      </c>
      <c r="H40" t="s">
        <v>6</v>
      </c>
      <c r="I40" s="1">
        <v>0.8</v>
      </c>
      <c r="J40" s="8">
        <v>70</v>
      </c>
      <c r="K40" s="2">
        <v>6000000</v>
      </c>
      <c r="L40" s="14">
        <v>4.7</v>
      </c>
      <c r="M40">
        <v>0.56999999999999995</v>
      </c>
      <c r="N40">
        <v>10.4</v>
      </c>
      <c r="O40">
        <v>8000</v>
      </c>
      <c r="P40" s="2">
        <v>800000</v>
      </c>
      <c r="Q40" t="s">
        <v>102</v>
      </c>
      <c r="R40" t="s">
        <v>103</v>
      </c>
    </row>
    <row r="41" spans="1:18" x14ac:dyDescent="0.25">
      <c r="A41" s="3">
        <v>4</v>
      </c>
      <c r="B41" s="4">
        <v>1523</v>
      </c>
      <c r="C41" s="4">
        <v>625</v>
      </c>
      <c r="D41" s="3">
        <v>65</v>
      </c>
      <c r="E41" s="8">
        <v>101</v>
      </c>
      <c r="F41" s="8">
        <v>601</v>
      </c>
      <c r="G41">
        <v>200</v>
      </c>
      <c r="H41" t="s">
        <v>6</v>
      </c>
      <c r="I41" s="1">
        <v>0.8</v>
      </c>
      <c r="J41" s="8">
        <v>70</v>
      </c>
      <c r="K41" s="2">
        <v>8000000</v>
      </c>
      <c r="L41" s="14">
        <v>4.7</v>
      </c>
      <c r="M41">
        <v>0.5</v>
      </c>
      <c r="N41">
        <v>11.7</v>
      </c>
      <c r="O41">
        <v>8000</v>
      </c>
      <c r="P41" s="2">
        <v>1200000</v>
      </c>
      <c r="Q41" t="s">
        <v>102</v>
      </c>
      <c r="R41" t="s">
        <v>105</v>
      </c>
    </row>
    <row r="42" spans="1:18" x14ac:dyDescent="0.25">
      <c r="A42" s="3">
        <v>5</v>
      </c>
      <c r="B42" s="4">
        <v>1523</v>
      </c>
      <c r="C42" s="4">
        <v>625</v>
      </c>
      <c r="D42" s="3">
        <v>65</v>
      </c>
      <c r="E42" s="8">
        <v>201</v>
      </c>
      <c r="F42" s="8">
        <v>1201</v>
      </c>
      <c r="G42">
        <v>200</v>
      </c>
      <c r="H42" t="s">
        <v>6</v>
      </c>
      <c r="I42" s="1">
        <v>0.8</v>
      </c>
      <c r="J42" s="8">
        <v>70</v>
      </c>
      <c r="K42" s="2">
        <v>8000000</v>
      </c>
      <c r="L42" s="14">
        <v>4.7</v>
      </c>
      <c r="M42">
        <v>0.38</v>
      </c>
      <c r="N42">
        <v>12.6</v>
      </c>
      <c r="O42">
        <v>8000</v>
      </c>
      <c r="P42" s="2">
        <v>1200000</v>
      </c>
      <c r="Q42" t="s">
        <v>117</v>
      </c>
      <c r="R42" t="s">
        <v>121</v>
      </c>
    </row>
    <row r="43" spans="1:18" x14ac:dyDescent="0.25">
      <c r="A43" s="17" t="s">
        <v>109</v>
      </c>
      <c r="D43" s="3"/>
      <c r="E43" s="8"/>
      <c r="F43" s="8"/>
      <c r="I43" s="1"/>
      <c r="J43" s="8"/>
      <c r="K43" s="2"/>
      <c r="L43" s="15"/>
    </row>
    <row r="44" spans="1:18" x14ac:dyDescent="0.25">
      <c r="A44" s="6" t="s">
        <v>110</v>
      </c>
      <c r="B44" s="4">
        <v>1523</v>
      </c>
      <c r="C44" s="4">
        <v>625</v>
      </c>
      <c r="D44" s="6">
        <v>65</v>
      </c>
      <c r="E44" s="4">
        <v>201</v>
      </c>
      <c r="F44" s="4">
        <v>1201</v>
      </c>
      <c r="G44" s="21">
        <v>200</v>
      </c>
      <c r="H44" s="21" t="s">
        <v>6</v>
      </c>
      <c r="I44" s="22">
        <v>0.8</v>
      </c>
      <c r="J44" s="4">
        <v>70</v>
      </c>
      <c r="K44" s="25">
        <v>4890000</v>
      </c>
      <c r="L44" s="14">
        <v>4.7</v>
      </c>
      <c r="M44" s="21">
        <v>0.63</v>
      </c>
      <c r="N44" s="21">
        <v>10</v>
      </c>
      <c r="O44" s="21">
        <v>7800</v>
      </c>
      <c r="P44" s="2">
        <v>600000</v>
      </c>
    </row>
    <row r="45" spans="1:18" x14ac:dyDescent="0.25">
      <c r="A45" s="3" t="s">
        <v>111</v>
      </c>
      <c r="B45" s="4">
        <v>1523</v>
      </c>
      <c r="C45" s="4">
        <v>625</v>
      </c>
      <c r="D45" s="3">
        <v>65</v>
      </c>
      <c r="E45" s="8">
        <v>201</v>
      </c>
      <c r="F45" s="8">
        <v>1201</v>
      </c>
      <c r="G45">
        <v>200</v>
      </c>
      <c r="H45" t="s">
        <v>6</v>
      </c>
      <c r="I45" s="1">
        <v>0.8</v>
      </c>
      <c r="J45" s="8">
        <v>48</v>
      </c>
      <c r="K45" s="2">
        <v>4890000</v>
      </c>
      <c r="L45" s="14">
        <v>4.7</v>
      </c>
      <c r="M45">
        <v>0.15</v>
      </c>
      <c r="N45">
        <v>14</v>
      </c>
      <c r="O45">
        <v>7800</v>
      </c>
    </row>
    <row r="46" spans="1:18" x14ac:dyDescent="0.25">
      <c r="A46" s="3" t="s">
        <v>112</v>
      </c>
      <c r="B46" s="4">
        <v>1523</v>
      </c>
      <c r="C46" s="4">
        <v>625</v>
      </c>
      <c r="D46" s="3">
        <v>65</v>
      </c>
      <c r="E46" s="8">
        <v>401</v>
      </c>
      <c r="F46" s="8">
        <v>2401</v>
      </c>
      <c r="G46">
        <v>200</v>
      </c>
      <c r="H46" t="s">
        <v>6</v>
      </c>
      <c r="I46" s="1">
        <v>0.8</v>
      </c>
      <c r="J46" s="8">
        <v>70</v>
      </c>
      <c r="K46" s="2">
        <v>4890000</v>
      </c>
      <c r="L46" s="14">
        <v>4.7</v>
      </c>
      <c r="M46">
        <v>0.44</v>
      </c>
      <c r="N46">
        <v>9.6</v>
      </c>
      <c r="O46">
        <v>8000</v>
      </c>
    </row>
    <row r="47" spans="1:18" x14ac:dyDescent="0.25">
      <c r="A47" s="3" t="s">
        <v>115</v>
      </c>
      <c r="B47" s="8">
        <v>1523</v>
      </c>
      <c r="C47" s="8">
        <v>625</v>
      </c>
      <c r="D47" s="3">
        <v>78</v>
      </c>
      <c r="E47" s="8">
        <v>201</v>
      </c>
      <c r="F47" s="8">
        <v>1201</v>
      </c>
      <c r="G47">
        <v>200</v>
      </c>
      <c r="H47" t="s">
        <v>6</v>
      </c>
      <c r="I47" s="1">
        <v>0.8</v>
      </c>
      <c r="J47" s="8">
        <v>70</v>
      </c>
      <c r="K47" s="2">
        <v>4890000</v>
      </c>
      <c r="L47" s="14">
        <v>4.7</v>
      </c>
      <c r="M47">
        <v>0.87</v>
      </c>
      <c r="N47">
        <v>11</v>
      </c>
      <c r="O47">
        <v>7800</v>
      </c>
      <c r="P47" s="2">
        <v>600000</v>
      </c>
      <c r="Q47" t="s">
        <v>116</v>
      </c>
    </row>
    <row r="48" spans="1:18" x14ac:dyDescent="0.25">
      <c r="A48" s="3"/>
      <c r="B48" s="8"/>
      <c r="C48" s="8"/>
      <c r="D48" s="3"/>
      <c r="J48" s="8"/>
      <c r="K48" s="8"/>
      <c r="L48" s="3"/>
    </row>
    <row r="49" spans="1:18" x14ac:dyDescent="0.25">
      <c r="A49" s="17" t="s">
        <v>126</v>
      </c>
      <c r="B49" s="8"/>
      <c r="C49" s="8"/>
      <c r="D49" s="3"/>
      <c r="J49" s="8"/>
      <c r="K49" s="8"/>
      <c r="L49" s="3"/>
    </row>
    <row r="50" spans="1:18" x14ac:dyDescent="0.25">
      <c r="A50" s="3" t="s">
        <v>127</v>
      </c>
      <c r="B50" s="4">
        <v>2043</v>
      </c>
      <c r="C50" s="4">
        <v>550</v>
      </c>
      <c r="D50" s="3">
        <v>70</v>
      </c>
      <c r="E50" s="4">
        <v>101</v>
      </c>
      <c r="F50" s="4">
        <v>601</v>
      </c>
      <c r="G50" s="4">
        <v>200</v>
      </c>
      <c r="H50" t="s">
        <v>6</v>
      </c>
      <c r="I50">
        <v>0.8</v>
      </c>
      <c r="J50" s="4">
        <v>48</v>
      </c>
      <c r="K50" s="9">
        <v>4890000</v>
      </c>
      <c r="L50" s="7">
        <v>4.07</v>
      </c>
      <c r="M50" s="4">
        <v>0.18</v>
      </c>
      <c r="N50" s="4">
        <v>12.2</v>
      </c>
      <c r="O50" s="4">
        <v>7600</v>
      </c>
      <c r="R50" t="s">
        <v>128</v>
      </c>
    </row>
    <row r="51" spans="1:18" x14ac:dyDescent="0.25">
      <c r="A51" s="3" t="s">
        <v>129</v>
      </c>
      <c r="B51" s="4">
        <v>2043</v>
      </c>
      <c r="C51" s="4">
        <v>550</v>
      </c>
      <c r="D51" s="3">
        <v>70</v>
      </c>
      <c r="E51" s="4">
        <v>101</v>
      </c>
      <c r="F51" s="4">
        <v>601</v>
      </c>
      <c r="G51" s="4">
        <v>200</v>
      </c>
      <c r="H51" t="s">
        <v>6</v>
      </c>
      <c r="I51">
        <v>0.8</v>
      </c>
      <c r="J51" s="4">
        <v>48</v>
      </c>
      <c r="K51" s="9">
        <v>4890000</v>
      </c>
      <c r="L51" s="7">
        <v>12.2</v>
      </c>
    </row>
    <row r="52" spans="1:18" x14ac:dyDescent="0.25">
      <c r="A52" s="3"/>
      <c r="B52" s="8"/>
      <c r="C52" s="8"/>
      <c r="D52" s="3"/>
      <c r="J52" s="8"/>
      <c r="K52" s="8"/>
      <c r="L52" s="3"/>
    </row>
    <row r="53" spans="1:18" x14ac:dyDescent="0.25">
      <c r="A53" s="3"/>
      <c r="B53" s="8"/>
      <c r="C53" s="8"/>
      <c r="D53" s="3"/>
      <c r="J53" s="8"/>
      <c r="K53" s="8"/>
      <c r="L53" s="3"/>
    </row>
    <row r="54" spans="1:18" x14ac:dyDescent="0.25">
      <c r="A54" s="3"/>
      <c r="B54" s="8"/>
      <c r="C54" s="8"/>
      <c r="D54" s="3"/>
      <c r="J54" s="8"/>
      <c r="K54" s="8"/>
      <c r="L54" s="3"/>
    </row>
    <row r="55" spans="1:18" x14ac:dyDescent="0.25">
      <c r="A55" s="3"/>
      <c r="B55" s="8"/>
      <c r="C55" s="8"/>
      <c r="D55" s="3"/>
      <c r="J55" s="8"/>
      <c r="K55" s="8"/>
      <c r="L55" s="3"/>
    </row>
    <row r="56" spans="1:18" x14ac:dyDescent="0.25">
      <c r="A56" s="3"/>
      <c r="B56" s="8"/>
      <c r="C56" s="8"/>
      <c r="D56" s="3"/>
      <c r="J56" s="8"/>
      <c r="K56" s="8"/>
      <c r="L56" s="3"/>
    </row>
  </sheetData>
  <autoFilter ref="A2:R47" xr:uid="{49C99752-6154-48AE-B9BC-04DA8123EC2F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7B21-B9BD-4BE3-AC43-A4672F937D1F}">
  <sheetPr codeName="Sheet7"/>
  <dimension ref="A1:T29"/>
  <sheetViews>
    <sheetView workbookViewId="0">
      <selection activeCell="A22" sqref="A22"/>
    </sheetView>
  </sheetViews>
  <sheetFormatPr defaultRowHeight="15" x14ac:dyDescent="0.25"/>
  <cols>
    <col min="1" max="1" width="17.140625" bestFit="1" customWidth="1"/>
    <col min="2" max="2" width="12.42578125" customWidth="1"/>
    <col min="3" max="3" width="10.7109375" bestFit="1" customWidth="1"/>
    <col min="4" max="4" width="10.28515625" bestFit="1" customWidth="1"/>
    <col min="5" max="5" width="6.85546875" customWidth="1"/>
    <col min="6" max="6" width="7.42578125" customWidth="1"/>
    <col min="7" max="7" width="14.85546875" bestFit="1" customWidth="1"/>
    <col min="8" max="8" width="8.7109375" bestFit="1" customWidth="1"/>
    <col min="9" max="9" width="7.5703125" bestFit="1" customWidth="1"/>
  </cols>
  <sheetData>
    <row r="1" spans="1:20" ht="18.75" x14ac:dyDescent="0.3">
      <c r="A1" s="20" t="s">
        <v>253</v>
      </c>
      <c r="B1" s="8" t="s">
        <v>43</v>
      </c>
      <c r="C1" s="8"/>
      <c r="D1" s="3"/>
      <c r="E1" t="s">
        <v>7</v>
      </c>
      <c r="H1" t="s">
        <v>195</v>
      </c>
      <c r="I1" t="s">
        <v>196</v>
      </c>
      <c r="L1" s="8"/>
      <c r="M1" s="8"/>
      <c r="N1" s="3" t="s">
        <v>146</v>
      </c>
      <c r="O1" t="s">
        <v>8</v>
      </c>
      <c r="Q1" t="s">
        <v>193</v>
      </c>
    </row>
    <row r="2" spans="1:20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241</v>
      </c>
      <c r="K2" t="s">
        <v>240</v>
      </c>
      <c r="L2" t="s">
        <v>3</v>
      </c>
      <c r="M2" s="8" t="s">
        <v>4</v>
      </c>
      <c r="N2" s="3" t="s">
        <v>145</v>
      </c>
      <c r="O2" s="4" t="s">
        <v>9</v>
      </c>
      <c r="P2" s="4" t="s">
        <v>10</v>
      </c>
      <c r="Q2" s="4" t="s">
        <v>36</v>
      </c>
      <c r="R2" s="4" t="s">
        <v>122</v>
      </c>
      <c r="S2" s="4" t="s">
        <v>57</v>
      </c>
      <c r="T2" s="4" t="s">
        <v>21</v>
      </c>
    </row>
    <row r="3" spans="1:20" x14ac:dyDescent="0.25">
      <c r="A3" s="3" t="s">
        <v>256</v>
      </c>
      <c r="D3" s="3"/>
      <c r="N3" s="3"/>
    </row>
    <row r="4" spans="1:20" x14ac:dyDescent="0.25">
      <c r="A4" s="3" t="s">
        <v>254</v>
      </c>
      <c r="C4" t="s">
        <v>255</v>
      </c>
      <c r="D4" s="3"/>
      <c r="F4" t="s">
        <v>271</v>
      </c>
      <c r="H4" t="s">
        <v>272</v>
      </c>
      <c r="N4" s="3"/>
    </row>
    <row r="5" spans="1:20" x14ac:dyDescent="0.25">
      <c r="A5" s="3" t="s">
        <v>270</v>
      </c>
      <c r="D5" s="3"/>
      <c r="N5" s="3"/>
    </row>
    <row r="6" spans="1:20" x14ac:dyDescent="0.25">
      <c r="A6" s="3" t="s">
        <v>257</v>
      </c>
      <c r="B6" t="s">
        <v>258</v>
      </c>
      <c r="D6" s="3"/>
      <c r="E6" t="s">
        <v>259</v>
      </c>
      <c r="N6" s="3"/>
    </row>
    <row r="7" spans="1:20" x14ac:dyDescent="0.25">
      <c r="A7" s="3"/>
      <c r="B7" t="s">
        <v>260</v>
      </c>
      <c r="C7">
        <v>9.81</v>
      </c>
      <c r="D7" s="3"/>
      <c r="E7" t="s">
        <v>260</v>
      </c>
      <c r="F7">
        <v>9.81</v>
      </c>
      <c r="N7" s="3"/>
    </row>
    <row r="8" spans="1:20" x14ac:dyDescent="0.25">
      <c r="A8" s="3"/>
      <c r="B8" t="s">
        <v>261</v>
      </c>
      <c r="C8" s="32">
        <f>1/500</f>
        <v>2E-3</v>
      </c>
      <c r="D8" s="3"/>
      <c r="E8" t="s">
        <v>261</v>
      </c>
      <c r="F8">
        <f>C8</f>
        <v>2E-3</v>
      </c>
      <c r="N8" s="3"/>
    </row>
    <row r="9" spans="1:20" x14ac:dyDescent="0.25">
      <c r="A9" s="3"/>
      <c r="B9" t="s">
        <v>262</v>
      </c>
      <c r="C9">
        <v>2E-3</v>
      </c>
      <c r="D9" s="3"/>
      <c r="E9" t="s">
        <v>262</v>
      </c>
      <c r="F9">
        <v>2.3500000000000001E-3</v>
      </c>
      <c r="N9" s="3"/>
    </row>
    <row r="10" spans="1:20" x14ac:dyDescent="0.25">
      <c r="A10" s="3"/>
      <c r="B10" t="s">
        <v>263</v>
      </c>
      <c r="C10" s="32">
        <v>200</v>
      </c>
      <c r="D10" s="3"/>
      <c r="E10" t="s">
        <v>263</v>
      </c>
      <c r="F10">
        <f>C10</f>
        <v>200</v>
      </c>
      <c r="N10" s="3"/>
    </row>
    <row r="11" spans="1:20" x14ac:dyDescent="0.25">
      <c r="A11" s="3"/>
      <c r="B11" t="s">
        <v>264</v>
      </c>
      <c r="C11" s="2">
        <v>1.5889999999999999E-5</v>
      </c>
      <c r="D11" s="3"/>
      <c r="E11" t="s">
        <v>264</v>
      </c>
      <c r="F11" s="2">
        <f>C11</f>
        <v>1.5889999999999999E-5</v>
      </c>
      <c r="N11" s="3"/>
    </row>
    <row r="12" spans="1:20" x14ac:dyDescent="0.25">
      <c r="A12" s="3"/>
      <c r="B12" t="s">
        <v>265</v>
      </c>
      <c r="C12" s="31">
        <f>C11/C14</f>
        <v>2.27E-5</v>
      </c>
      <c r="D12" s="3"/>
      <c r="E12" t="s">
        <v>265</v>
      </c>
      <c r="F12" s="2">
        <f>C12</f>
        <v>2.27E-5</v>
      </c>
      <c r="N12" s="3"/>
    </row>
    <row r="13" spans="1:20" x14ac:dyDescent="0.25">
      <c r="A13" s="3"/>
      <c r="B13" t="s">
        <v>266</v>
      </c>
      <c r="C13" s="2">
        <v>2.63E-3</v>
      </c>
      <c r="D13" s="3"/>
      <c r="E13" t="s">
        <v>266</v>
      </c>
      <c r="F13" s="2">
        <f>C13</f>
        <v>2.63E-3</v>
      </c>
      <c r="N13" s="3"/>
    </row>
    <row r="14" spans="1:20" x14ac:dyDescent="0.25">
      <c r="A14" s="3"/>
      <c r="B14" t="s">
        <v>267</v>
      </c>
      <c r="C14">
        <v>0.7</v>
      </c>
      <c r="D14" s="3"/>
      <c r="E14" t="s">
        <v>267</v>
      </c>
      <c r="F14" s="2">
        <f>C14</f>
        <v>0.7</v>
      </c>
      <c r="N14" s="3"/>
    </row>
    <row r="15" spans="1:20" x14ac:dyDescent="0.25">
      <c r="A15" s="3"/>
      <c r="B15" t="s">
        <v>268</v>
      </c>
      <c r="C15">
        <f>C7*C8*C10*C9^3/(C11*C12)</f>
        <v>87.030049653038674</v>
      </c>
      <c r="D15" s="3"/>
      <c r="E15" t="s">
        <v>268</v>
      </c>
      <c r="F15">
        <f>F7*F8*F10*F9^3/(F11*F12)</f>
        <v>141.18313820511614</v>
      </c>
      <c r="N15" s="3"/>
    </row>
    <row r="16" spans="1:20" x14ac:dyDescent="0.25">
      <c r="A16" s="3"/>
      <c r="B16" t="s">
        <v>269</v>
      </c>
      <c r="C16">
        <f>C13/C9*(0.68+(0.67*C15^(0.25))/(1+(0.492/C14)^(9/16))^(4/9))</f>
        <v>2.9563525686874197</v>
      </c>
      <c r="D16" s="3"/>
      <c r="E16" t="s">
        <v>269</v>
      </c>
      <c r="F16">
        <f>F13/F9*(0.54*F15^(0.25))</f>
        <v>2.083182669112686</v>
      </c>
      <c r="N16" s="3"/>
    </row>
    <row r="17" spans="1:16" x14ac:dyDescent="0.25">
      <c r="A17" s="3"/>
      <c r="D17" s="3"/>
      <c r="N17" s="3"/>
    </row>
    <row r="18" spans="1:16" x14ac:dyDescent="0.25">
      <c r="A18" s="3">
        <v>1</v>
      </c>
      <c r="B18">
        <v>1070</v>
      </c>
      <c r="C18">
        <v>875</v>
      </c>
      <c r="D18" s="3">
        <v>150</v>
      </c>
      <c r="E18" s="4">
        <v>150</v>
      </c>
      <c r="F18" s="4">
        <v>100</v>
      </c>
      <c r="G18" s="4">
        <v>3.82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s="3" t="s">
        <v>79</v>
      </c>
      <c r="O18" s="4" t="s">
        <v>79</v>
      </c>
      <c r="P18" s="4" t="s">
        <v>79</v>
      </c>
    </row>
    <row r="19" spans="1:16" x14ac:dyDescent="0.25">
      <c r="A19" s="3">
        <v>2</v>
      </c>
      <c r="B19">
        <v>1070</v>
      </c>
      <c r="C19">
        <v>875</v>
      </c>
      <c r="D19" s="3">
        <v>1</v>
      </c>
      <c r="E19" s="4">
        <v>150</v>
      </c>
      <c r="F19" s="4">
        <v>100</v>
      </c>
      <c r="G19" s="4">
        <v>3.82</v>
      </c>
      <c r="N19" s="3"/>
    </row>
    <row r="20" spans="1:16" x14ac:dyDescent="0.25">
      <c r="A20" s="3">
        <v>3</v>
      </c>
      <c r="B20">
        <v>1070</v>
      </c>
      <c r="C20">
        <v>875</v>
      </c>
      <c r="D20" s="3">
        <v>1</v>
      </c>
      <c r="E20" s="4">
        <v>150</v>
      </c>
      <c r="F20" s="4">
        <v>100</v>
      </c>
      <c r="G20">
        <v>1.1499999999999999</v>
      </c>
      <c r="N20" s="3"/>
    </row>
    <row r="21" spans="1:16" x14ac:dyDescent="0.25">
      <c r="A21" s="3">
        <v>4</v>
      </c>
      <c r="B21">
        <v>1500</v>
      </c>
      <c r="C21">
        <v>875</v>
      </c>
      <c r="D21" s="3">
        <v>0.7</v>
      </c>
      <c r="E21" s="4">
        <v>150</v>
      </c>
      <c r="F21" s="4">
        <v>100</v>
      </c>
      <c r="G21">
        <v>1.53</v>
      </c>
      <c r="H21" t="s">
        <v>273</v>
      </c>
      <c r="N21" s="3"/>
    </row>
    <row r="22" spans="1:16" x14ac:dyDescent="0.25">
      <c r="A22" s="3">
        <v>5</v>
      </c>
      <c r="B22">
        <v>1500</v>
      </c>
      <c r="C22">
        <v>875</v>
      </c>
      <c r="D22" s="3">
        <v>1</v>
      </c>
      <c r="E22" s="4">
        <v>150</v>
      </c>
      <c r="F22" s="4">
        <v>100</v>
      </c>
      <c r="G22">
        <v>1.53</v>
      </c>
      <c r="H22" t="s">
        <v>274</v>
      </c>
      <c r="N22" s="3"/>
    </row>
    <row r="23" spans="1:16" x14ac:dyDescent="0.25">
      <c r="A23" s="3"/>
      <c r="D23" s="3"/>
      <c r="N23" s="3"/>
    </row>
    <row r="24" spans="1:16" x14ac:dyDescent="0.25">
      <c r="A24" s="3"/>
      <c r="D24" s="3"/>
      <c r="N24" s="3"/>
    </row>
    <row r="25" spans="1:16" x14ac:dyDescent="0.25">
      <c r="A25" s="3"/>
      <c r="D25" s="3"/>
      <c r="N25" s="3"/>
    </row>
    <row r="26" spans="1:16" x14ac:dyDescent="0.25">
      <c r="A26" s="3"/>
      <c r="D26" s="3"/>
      <c r="N26" s="3"/>
    </row>
    <row r="27" spans="1:16" x14ac:dyDescent="0.25">
      <c r="A27" s="3"/>
      <c r="D27" s="3"/>
      <c r="N27" s="3"/>
    </row>
    <row r="28" spans="1:16" x14ac:dyDescent="0.25">
      <c r="A28" s="3"/>
      <c r="D28" s="3"/>
      <c r="N28" s="3"/>
    </row>
    <row r="29" spans="1:16" x14ac:dyDescent="0.25">
      <c r="A29" s="3"/>
      <c r="D29" s="3"/>
      <c r="N29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F2D16-8E76-47FB-A3D6-A644392E9824}">
  <sheetPr codeName="Sheet8"/>
  <dimension ref="A1:W25"/>
  <sheetViews>
    <sheetView topLeftCell="J1" workbookViewId="0">
      <selection activeCell="R11" sqref="R11"/>
    </sheetView>
  </sheetViews>
  <sheetFormatPr defaultRowHeight="15" x14ac:dyDescent="0.25"/>
  <cols>
    <col min="1" max="1" width="17.85546875" bestFit="1" customWidth="1"/>
    <col min="3" max="3" width="10.5703125" bestFit="1" customWidth="1"/>
    <col min="4" max="4" width="10.85546875" bestFit="1" customWidth="1"/>
    <col min="5" max="5" width="10.5703125" bestFit="1" customWidth="1"/>
    <col min="6" max="6" width="10.85546875" bestFit="1" customWidth="1"/>
    <col min="12" max="12" width="12.5703125" bestFit="1" customWidth="1"/>
  </cols>
  <sheetData>
    <row r="1" spans="1:23" x14ac:dyDescent="0.25">
      <c r="A1" t="s">
        <v>154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H1" t="s">
        <v>159</v>
      </c>
      <c r="K1" s="29" t="s">
        <v>170</v>
      </c>
      <c r="R1" t="s">
        <v>181</v>
      </c>
    </row>
    <row r="2" spans="1:23" x14ac:dyDescent="0.25">
      <c r="A2" s="27" t="s">
        <v>155</v>
      </c>
      <c r="B2">
        <v>0.4</v>
      </c>
      <c r="C2">
        <v>-70.845860524587494</v>
      </c>
      <c r="D2">
        <v>1371.1022479048199</v>
      </c>
      <c r="E2">
        <v>-130502.817439298</v>
      </c>
      <c r="F2">
        <v>34.168248064059597</v>
      </c>
      <c r="H2" t="s">
        <v>160</v>
      </c>
      <c r="K2" t="s">
        <v>171</v>
      </c>
      <c r="L2" t="s">
        <v>174</v>
      </c>
      <c r="M2" t="s">
        <v>175</v>
      </c>
      <c r="N2" t="s">
        <v>172</v>
      </c>
      <c r="O2" t="s">
        <v>173</v>
      </c>
      <c r="P2" t="s">
        <v>176</v>
      </c>
      <c r="R2" t="s">
        <v>171</v>
      </c>
      <c r="S2" t="s">
        <v>174</v>
      </c>
      <c r="T2" t="s">
        <v>175</v>
      </c>
      <c r="U2" t="s">
        <v>172</v>
      </c>
      <c r="V2" t="s">
        <v>173</v>
      </c>
      <c r="W2" t="s">
        <v>176</v>
      </c>
    </row>
    <row r="3" spans="1:23" x14ac:dyDescent="0.25">
      <c r="A3" t="s">
        <v>156</v>
      </c>
      <c r="B3">
        <v>0.6</v>
      </c>
      <c r="C3">
        <v>-48.770925785040802</v>
      </c>
      <c r="D3">
        <v>1350.2937903639199</v>
      </c>
      <c r="E3">
        <v>-128180.053052316</v>
      </c>
      <c r="F3">
        <v>33.359294009698402</v>
      </c>
      <c r="K3">
        <v>100</v>
      </c>
      <c r="L3">
        <v>2.6030000000000002</v>
      </c>
      <c r="M3">
        <v>0.26600000000000001</v>
      </c>
      <c r="N3">
        <v>100</v>
      </c>
      <c r="O3">
        <v>10</v>
      </c>
      <c r="P3" t="s">
        <v>160</v>
      </c>
      <c r="R3">
        <v>100</v>
      </c>
      <c r="S3">
        <v>2.6030000000000002</v>
      </c>
      <c r="T3">
        <v>0.26600000000000001</v>
      </c>
      <c r="U3">
        <v>100</v>
      </c>
      <c r="V3">
        <v>10</v>
      </c>
      <c r="W3" t="s">
        <v>160</v>
      </c>
    </row>
    <row r="4" spans="1:23" x14ac:dyDescent="0.25">
      <c r="B4">
        <v>0.8</v>
      </c>
      <c r="C4">
        <v>-41.279260690553301</v>
      </c>
      <c r="D4">
        <v>1346.0338814567201</v>
      </c>
      <c r="E4">
        <v>-127692.23639531901</v>
      </c>
      <c r="F4">
        <v>33.256106208045502</v>
      </c>
      <c r="K4">
        <v>100</v>
      </c>
      <c r="L4">
        <v>2.4620000000000002</v>
      </c>
      <c r="M4">
        <v>2.7199999999999998E-2</v>
      </c>
      <c r="N4">
        <v>100</v>
      </c>
      <c r="O4">
        <v>5</v>
      </c>
      <c r="P4" t="s">
        <v>160</v>
      </c>
      <c r="R4">
        <v>100</v>
      </c>
      <c r="S4">
        <v>2.4620000000000002</v>
      </c>
      <c r="T4">
        <v>2.7199999999999998E-2</v>
      </c>
      <c r="U4">
        <v>100</v>
      </c>
      <c r="V4">
        <v>5</v>
      </c>
      <c r="W4" t="s">
        <v>160</v>
      </c>
    </row>
    <row r="5" spans="1:23" x14ac:dyDescent="0.25">
      <c r="A5" s="27" t="s">
        <v>155</v>
      </c>
      <c r="B5">
        <v>0.4</v>
      </c>
      <c r="C5">
        <v>1.00026401018807</v>
      </c>
      <c r="D5">
        <v>1371.1022479048199</v>
      </c>
      <c r="E5">
        <v>1.00000053313072</v>
      </c>
      <c r="F5">
        <v>130504.817439298</v>
      </c>
      <c r="H5" t="s">
        <v>160</v>
      </c>
      <c r="K5">
        <v>100</v>
      </c>
      <c r="L5">
        <v>2.4249999999999998</v>
      </c>
      <c r="M5">
        <v>1.3650000000000001E-2</v>
      </c>
      <c r="N5">
        <v>100</v>
      </c>
      <c r="O5">
        <v>1</v>
      </c>
      <c r="P5" t="s">
        <v>160</v>
      </c>
      <c r="R5">
        <v>100</v>
      </c>
      <c r="S5">
        <v>2.4249999999999998</v>
      </c>
      <c r="T5">
        <v>1.3650000000000001E-2</v>
      </c>
      <c r="U5">
        <v>100</v>
      </c>
      <c r="V5">
        <v>1</v>
      </c>
      <c r="W5" t="s">
        <v>160</v>
      </c>
    </row>
    <row r="6" spans="1:23" x14ac:dyDescent="0.25">
      <c r="A6" t="s">
        <v>157</v>
      </c>
      <c r="B6">
        <v>0.6</v>
      </c>
      <c r="C6">
        <v>1.00050198995585</v>
      </c>
      <c r="D6">
        <v>1350.2937903639199</v>
      </c>
      <c r="E6">
        <v>1.00000001767269</v>
      </c>
      <c r="F6">
        <v>128182.053052316</v>
      </c>
      <c r="K6">
        <v>200</v>
      </c>
      <c r="L6">
        <v>0.30669999999999997</v>
      </c>
      <c r="M6">
        <v>1.0200000000000001E-2</v>
      </c>
      <c r="N6">
        <v>10</v>
      </c>
      <c r="O6" t="s">
        <v>178</v>
      </c>
      <c r="P6" t="s">
        <v>161</v>
      </c>
      <c r="R6">
        <v>200</v>
      </c>
      <c r="S6">
        <v>0.36930000000000002</v>
      </c>
      <c r="T6">
        <v>3.4000000000000002E-2</v>
      </c>
      <c r="U6">
        <v>100</v>
      </c>
      <c r="V6">
        <v>1</v>
      </c>
      <c r="W6" t="s">
        <v>160</v>
      </c>
    </row>
    <row r="7" spans="1:23" x14ac:dyDescent="0.25">
      <c r="B7">
        <v>0.8</v>
      </c>
      <c r="C7">
        <v>1.00057303933987</v>
      </c>
      <c r="D7">
        <v>1346.0338814567201</v>
      </c>
      <c r="E7">
        <v>1.00000146299174</v>
      </c>
      <c r="F7">
        <v>127694.23639531901</v>
      </c>
      <c r="K7">
        <v>200</v>
      </c>
      <c r="L7">
        <v>0.30499999999999999</v>
      </c>
      <c r="M7">
        <v>8.9999999999999993E-3</v>
      </c>
      <c r="N7">
        <v>10</v>
      </c>
      <c r="O7">
        <v>1</v>
      </c>
      <c r="P7" t="s">
        <v>161</v>
      </c>
      <c r="R7">
        <v>400</v>
      </c>
      <c r="S7">
        <v>0.36899999999999999</v>
      </c>
      <c r="T7">
        <v>2.75</v>
      </c>
      <c r="U7">
        <v>100</v>
      </c>
      <c r="V7">
        <v>14</v>
      </c>
      <c r="W7" t="s">
        <v>160</v>
      </c>
    </row>
    <row r="8" spans="1:23" x14ac:dyDescent="0.25">
      <c r="A8" s="27" t="s">
        <v>155</v>
      </c>
      <c r="B8">
        <v>0.4</v>
      </c>
      <c r="C8">
        <v>0.28129536162270802</v>
      </c>
      <c r="D8">
        <v>1371.1022479048199</v>
      </c>
      <c r="E8">
        <v>-130502.817439298</v>
      </c>
      <c r="F8">
        <v>34.168248064059597</v>
      </c>
      <c r="H8" t="s">
        <v>160</v>
      </c>
      <c r="K8">
        <v>200</v>
      </c>
      <c r="L8">
        <v>0.36930000000000002</v>
      </c>
      <c r="M8">
        <v>3.4000000000000002E-2</v>
      </c>
      <c r="N8">
        <v>100</v>
      </c>
      <c r="O8">
        <v>1</v>
      </c>
      <c r="P8" t="s">
        <v>160</v>
      </c>
      <c r="R8">
        <v>400</v>
      </c>
      <c r="S8">
        <v>0.26200000000000001</v>
      </c>
      <c r="T8">
        <v>2.25</v>
      </c>
      <c r="U8">
        <v>100</v>
      </c>
      <c r="V8">
        <v>11</v>
      </c>
      <c r="W8" t="s">
        <v>160</v>
      </c>
    </row>
    <row r="9" spans="1:23" x14ac:dyDescent="0.25">
      <c r="A9" t="s">
        <v>162</v>
      </c>
      <c r="B9">
        <v>0.6</v>
      </c>
      <c r="C9">
        <v>0.53018545734696898</v>
      </c>
      <c r="D9">
        <v>1350.2937903639199</v>
      </c>
      <c r="E9">
        <v>-128180.053052316</v>
      </c>
      <c r="F9">
        <v>33.359294009698402</v>
      </c>
      <c r="K9">
        <v>400</v>
      </c>
      <c r="L9">
        <v>0.13700000000000001</v>
      </c>
      <c r="M9">
        <v>0.503</v>
      </c>
      <c r="N9">
        <v>10</v>
      </c>
      <c r="O9">
        <v>20</v>
      </c>
      <c r="P9" t="s">
        <v>160</v>
      </c>
      <c r="R9">
        <v>400</v>
      </c>
      <c r="S9">
        <v>7.1099999999999997E-2</v>
      </c>
      <c r="T9">
        <v>5.4999999999999997E-3</v>
      </c>
      <c r="U9">
        <v>100</v>
      </c>
      <c r="V9">
        <v>10</v>
      </c>
      <c r="W9" t="s">
        <v>161</v>
      </c>
    </row>
    <row r="10" spans="1:23" x14ac:dyDescent="0.25">
      <c r="B10">
        <v>0.8</v>
      </c>
      <c r="C10">
        <v>0.69539492341257403</v>
      </c>
      <c r="D10">
        <v>1346.0338814567201</v>
      </c>
      <c r="E10">
        <v>-127692.23639531901</v>
      </c>
      <c r="F10">
        <v>33.256106208045502</v>
      </c>
      <c r="K10">
        <v>400</v>
      </c>
      <c r="L10">
        <v>7.1099999999999997E-2</v>
      </c>
      <c r="M10">
        <v>5.4999999999999997E-3</v>
      </c>
      <c r="N10">
        <v>100</v>
      </c>
      <c r="O10">
        <v>10</v>
      </c>
      <c r="P10" t="s">
        <v>161</v>
      </c>
      <c r="R10">
        <v>400</v>
      </c>
      <c r="S10">
        <v>7.0800000000000002E-2</v>
      </c>
      <c r="T10">
        <v>5.4999999999999997E-3</v>
      </c>
      <c r="U10">
        <v>100</v>
      </c>
      <c r="V10">
        <v>1</v>
      </c>
      <c r="W10" t="s">
        <v>161</v>
      </c>
    </row>
    <row r="11" spans="1:23" x14ac:dyDescent="0.25">
      <c r="A11" s="27" t="s">
        <v>155</v>
      </c>
      <c r="B11">
        <v>0.4</v>
      </c>
      <c r="C11">
        <v>1.00026401018807</v>
      </c>
      <c r="D11">
        <v>1371.1022479048199</v>
      </c>
      <c r="E11">
        <v>1.00000053313072</v>
      </c>
      <c r="F11">
        <v>130504.817439298</v>
      </c>
      <c r="H11" t="s">
        <v>160</v>
      </c>
      <c r="K11">
        <v>400</v>
      </c>
      <c r="L11" t="s">
        <v>183</v>
      </c>
      <c r="N11">
        <v>10</v>
      </c>
      <c r="O11" t="s">
        <v>182</v>
      </c>
      <c r="P11" t="s">
        <v>161</v>
      </c>
    </row>
    <row r="12" spans="1:23" x14ac:dyDescent="0.25">
      <c r="A12" t="s">
        <v>163</v>
      </c>
      <c r="B12">
        <v>0.6</v>
      </c>
      <c r="C12">
        <v>1.00050198995585</v>
      </c>
      <c r="D12">
        <v>1350.2937903639199</v>
      </c>
      <c r="E12">
        <v>1.00000001767269</v>
      </c>
      <c r="F12">
        <v>128182.053052316</v>
      </c>
      <c r="K12">
        <v>400</v>
      </c>
      <c r="L12">
        <v>7.0800000000000002E-2</v>
      </c>
      <c r="M12">
        <v>5.4999999999999997E-3</v>
      </c>
      <c r="N12">
        <v>100</v>
      </c>
      <c r="O12">
        <v>1</v>
      </c>
      <c r="P12" t="s">
        <v>161</v>
      </c>
      <c r="R12">
        <v>100</v>
      </c>
      <c r="S12">
        <v>2.4140000000000001</v>
      </c>
      <c r="T12">
        <v>1.2699999999999999E-2</v>
      </c>
      <c r="U12">
        <v>10</v>
      </c>
      <c r="V12">
        <v>1</v>
      </c>
      <c r="W12" t="s">
        <v>160</v>
      </c>
    </row>
    <row r="13" spans="1:23" x14ac:dyDescent="0.25">
      <c r="B13">
        <v>0.8</v>
      </c>
      <c r="C13">
        <v>1.00057303933987</v>
      </c>
      <c r="D13">
        <v>1346.0338814567201</v>
      </c>
      <c r="E13">
        <v>1.00000146299174</v>
      </c>
      <c r="F13">
        <v>127694.23639531901</v>
      </c>
      <c r="K13">
        <v>400</v>
      </c>
      <c r="L13">
        <v>0.12959999999999999</v>
      </c>
      <c r="M13">
        <v>0.20899999999999999</v>
      </c>
      <c r="N13">
        <v>10</v>
      </c>
      <c r="O13">
        <v>15</v>
      </c>
      <c r="P13" t="s">
        <v>160</v>
      </c>
      <c r="R13">
        <v>200</v>
      </c>
      <c r="S13">
        <v>0.30499999999999999</v>
      </c>
      <c r="T13">
        <v>8.9999999999999993E-3</v>
      </c>
      <c r="U13">
        <v>10</v>
      </c>
      <c r="V13">
        <v>1</v>
      </c>
      <c r="W13" t="s">
        <v>161</v>
      </c>
    </row>
    <row r="14" spans="1:23" x14ac:dyDescent="0.25">
      <c r="A14" s="27" t="s">
        <v>158</v>
      </c>
      <c r="B14">
        <v>0.4</v>
      </c>
      <c r="C14">
        <v>-72.866677854694501</v>
      </c>
      <c r="D14">
        <v>3788.7326147245099</v>
      </c>
      <c r="E14">
        <v>-1875711.5738534799</v>
      </c>
      <c r="F14">
        <v>463358.56321739597</v>
      </c>
      <c r="H14" t="s">
        <v>161</v>
      </c>
      <c r="K14">
        <v>400</v>
      </c>
      <c r="L14" t="s">
        <v>177</v>
      </c>
      <c r="M14">
        <v>5.7999999999999996E-3</v>
      </c>
      <c r="N14">
        <v>10</v>
      </c>
      <c r="O14" t="s">
        <v>179</v>
      </c>
      <c r="P14" t="s">
        <v>161</v>
      </c>
      <c r="R14">
        <v>200</v>
      </c>
      <c r="S14">
        <v>0.30669999999999997</v>
      </c>
      <c r="T14">
        <v>1.0200000000000001E-2</v>
      </c>
      <c r="U14">
        <v>10</v>
      </c>
      <c r="V14" t="s">
        <v>178</v>
      </c>
      <c r="W14" t="s">
        <v>161</v>
      </c>
    </row>
    <row r="15" spans="1:23" x14ac:dyDescent="0.25">
      <c r="A15" t="s">
        <v>156</v>
      </c>
      <c r="B15">
        <v>0.6</v>
      </c>
      <c r="C15">
        <v>-117.761611001521</v>
      </c>
      <c r="D15">
        <v>1993.07173038564</v>
      </c>
      <c r="E15">
        <v>-353053.01634724898</v>
      </c>
      <c r="F15">
        <v>56584455.152832501</v>
      </c>
      <c r="K15">
        <v>200</v>
      </c>
      <c r="L15">
        <v>0.36</v>
      </c>
      <c r="M15">
        <v>2.4500000000000001E-2</v>
      </c>
      <c r="N15">
        <v>10</v>
      </c>
      <c r="O15" t="s">
        <v>180</v>
      </c>
      <c r="P15" t="s">
        <v>160</v>
      </c>
      <c r="R15">
        <v>200</v>
      </c>
      <c r="S15">
        <v>0.317</v>
      </c>
      <c r="T15">
        <v>1.1599999999999999E-2</v>
      </c>
      <c r="U15">
        <v>10</v>
      </c>
      <c r="V15">
        <v>5</v>
      </c>
      <c r="W15" t="s">
        <v>161</v>
      </c>
    </row>
    <row r="16" spans="1:23" x14ac:dyDescent="0.25">
      <c r="B16">
        <v>0.8</v>
      </c>
      <c r="C16">
        <v>-131.873251217871</v>
      </c>
      <c r="D16">
        <v>1746.0808878555999</v>
      </c>
      <c r="E16">
        <v>-5.9722557747177998</v>
      </c>
      <c r="F16">
        <v>683531.85534911801</v>
      </c>
      <c r="K16">
        <v>200</v>
      </c>
      <c r="L16">
        <v>0.317</v>
      </c>
      <c r="M16">
        <v>1.1599999999999999E-2</v>
      </c>
      <c r="N16">
        <v>10</v>
      </c>
      <c r="O16">
        <v>5</v>
      </c>
      <c r="P16" t="s">
        <v>161</v>
      </c>
      <c r="R16">
        <v>200</v>
      </c>
      <c r="S16">
        <v>0.36</v>
      </c>
      <c r="T16">
        <v>2.4500000000000001E-2</v>
      </c>
      <c r="U16">
        <v>10</v>
      </c>
      <c r="V16" t="s">
        <v>180</v>
      </c>
      <c r="W16" t="s">
        <v>160</v>
      </c>
    </row>
    <row r="17" spans="1:23" x14ac:dyDescent="0.25">
      <c r="A17" s="27" t="s">
        <v>158</v>
      </c>
      <c r="B17">
        <v>0.4</v>
      </c>
      <c r="C17">
        <v>1.0007298725343501</v>
      </c>
      <c r="D17">
        <v>3788.7326147245099</v>
      </c>
      <c r="E17">
        <v>1.0000076626110901</v>
      </c>
      <c r="F17">
        <v>1875713.5738534799</v>
      </c>
      <c r="H17" t="s">
        <v>161</v>
      </c>
      <c r="K17">
        <v>200</v>
      </c>
      <c r="L17">
        <v>0.38200000000000001</v>
      </c>
      <c r="M17">
        <v>0.1</v>
      </c>
      <c r="N17">
        <v>10</v>
      </c>
      <c r="O17">
        <v>14</v>
      </c>
      <c r="P17" t="s">
        <v>184</v>
      </c>
      <c r="R17">
        <v>400</v>
      </c>
      <c r="S17" t="s">
        <v>177</v>
      </c>
      <c r="T17">
        <v>5.7999999999999996E-3</v>
      </c>
      <c r="U17">
        <v>10</v>
      </c>
      <c r="V17" t="s">
        <v>179</v>
      </c>
      <c r="W17" t="s">
        <v>161</v>
      </c>
    </row>
    <row r="18" spans="1:23" x14ac:dyDescent="0.25">
      <c r="A18" t="s">
        <v>157</v>
      </c>
      <c r="B18">
        <v>0.6</v>
      </c>
      <c r="C18">
        <v>1.0007411284385499</v>
      </c>
      <c r="D18">
        <v>1993.07173038564</v>
      </c>
      <c r="E18">
        <v>1.000007801465</v>
      </c>
      <c r="F18">
        <v>56584455.152832501</v>
      </c>
      <c r="K18">
        <v>400</v>
      </c>
      <c r="L18">
        <v>0.36899999999999999</v>
      </c>
      <c r="M18">
        <v>2.75</v>
      </c>
      <c r="N18">
        <v>100</v>
      </c>
      <c r="O18">
        <v>14</v>
      </c>
      <c r="P18" t="s">
        <v>160</v>
      </c>
      <c r="R18">
        <v>400</v>
      </c>
      <c r="S18">
        <v>0.12959999999999999</v>
      </c>
      <c r="T18">
        <v>0.20899999999999999</v>
      </c>
      <c r="U18">
        <v>10</v>
      </c>
      <c r="V18">
        <v>15</v>
      </c>
      <c r="W18" t="s">
        <v>160</v>
      </c>
    </row>
    <row r="19" spans="1:23" x14ac:dyDescent="0.25">
      <c r="B19">
        <v>0.8</v>
      </c>
      <c r="C19">
        <v>1.0007434756951299</v>
      </c>
      <c r="D19">
        <v>1746.0808878555999</v>
      </c>
      <c r="E19">
        <v>1.00000783126834</v>
      </c>
      <c r="F19">
        <v>683531.85534911801</v>
      </c>
      <c r="K19">
        <v>400</v>
      </c>
      <c r="L19">
        <v>0.26200000000000001</v>
      </c>
      <c r="M19">
        <v>2.25</v>
      </c>
      <c r="N19">
        <v>100</v>
      </c>
      <c r="O19">
        <v>11</v>
      </c>
      <c r="P19" t="s">
        <v>160</v>
      </c>
      <c r="R19">
        <v>400</v>
      </c>
      <c r="S19">
        <v>0.13700000000000001</v>
      </c>
      <c r="T19">
        <v>0.503</v>
      </c>
      <c r="U19">
        <v>10</v>
      </c>
      <c r="V19">
        <v>20</v>
      </c>
      <c r="W19" t="s">
        <v>160</v>
      </c>
    </row>
    <row r="20" spans="1:23" x14ac:dyDescent="0.25">
      <c r="A20" s="27" t="s">
        <v>158</v>
      </c>
      <c r="B20">
        <v>0.4</v>
      </c>
      <c r="C20">
        <v>-72.866677854694501</v>
      </c>
      <c r="D20">
        <v>3788.7326147245099</v>
      </c>
      <c r="E20">
        <v>-1875711.5738534799</v>
      </c>
      <c r="F20">
        <v>1713698.4515880099</v>
      </c>
      <c r="H20" t="s">
        <v>161</v>
      </c>
      <c r="K20">
        <v>100</v>
      </c>
      <c r="L20">
        <v>2.4140000000000001</v>
      </c>
      <c r="M20">
        <v>1.2699999999999999E-2</v>
      </c>
      <c r="N20">
        <v>10</v>
      </c>
      <c r="O20">
        <v>1</v>
      </c>
      <c r="P20" t="s">
        <v>160</v>
      </c>
    </row>
    <row r="21" spans="1:23" x14ac:dyDescent="0.25">
      <c r="A21" t="s">
        <v>162</v>
      </c>
      <c r="B21">
        <v>0.6</v>
      </c>
      <c r="C21">
        <v>-117.761611001521</v>
      </c>
      <c r="D21">
        <v>1993.07173038564</v>
      </c>
      <c r="E21">
        <v>-353053.01634724898</v>
      </c>
      <c r="F21">
        <v>56584455.152832501</v>
      </c>
    </row>
    <row r="22" spans="1:23" x14ac:dyDescent="0.25">
      <c r="B22">
        <v>0.8</v>
      </c>
      <c r="C22">
        <v>-131.873251217871</v>
      </c>
      <c r="D22">
        <v>1746.0808878555999</v>
      </c>
      <c r="E22">
        <v>-323940.259136312</v>
      </c>
      <c r="F22">
        <v>683531.85534911801</v>
      </c>
    </row>
    <row r="23" spans="1:23" x14ac:dyDescent="0.25">
      <c r="A23" s="27" t="s">
        <v>158</v>
      </c>
      <c r="B23">
        <v>0.4</v>
      </c>
      <c r="C23">
        <v>1.0007298725343501</v>
      </c>
      <c r="D23">
        <v>3788.7326147245099</v>
      </c>
      <c r="E23">
        <v>1.0000076626110901</v>
      </c>
      <c r="F23">
        <v>1875713.5738534799</v>
      </c>
      <c r="H23" t="s">
        <v>161</v>
      </c>
    </row>
    <row r="24" spans="1:23" x14ac:dyDescent="0.25">
      <c r="A24" t="s">
        <v>163</v>
      </c>
      <c r="B24">
        <v>0.6</v>
      </c>
      <c r="C24">
        <v>1.0007411284385499</v>
      </c>
      <c r="D24">
        <v>1993.07173038564</v>
      </c>
      <c r="E24">
        <v>1.000007801465</v>
      </c>
      <c r="F24">
        <v>56584455.152832501</v>
      </c>
    </row>
    <row r="25" spans="1:23" x14ac:dyDescent="0.25">
      <c r="B25">
        <v>0.8</v>
      </c>
      <c r="C25">
        <v>1.0007434756951299</v>
      </c>
      <c r="D25">
        <v>1746.0808878555999</v>
      </c>
      <c r="E25">
        <v>1.00000783126834</v>
      </c>
      <c r="F25">
        <v>683531.85534911801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848E-E3A5-4386-B339-1C6B1D214A6A}">
  <sheetPr codeName="Sheet9"/>
  <dimension ref="A1:S108"/>
  <sheetViews>
    <sheetView workbookViewId="0">
      <selection activeCell="N8" sqref="N8"/>
    </sheetView>
  </sheetViews>
  <sheetFormatPr defaultRowHeight="15" x14ac:dyDescent="0.25"/>
  <sheetData>
    <row r="1" spans="1:19" x14ac:dyDescent="0.25">
      <c r="A1" t="s">
        <v>4</v>
      </c>
      <c r="B1" s="2">
        <v>4890000</v>
      </c>
    </row>
    <row r="2" spans="1:19" x14ac:dyDescent="0.25">
      <c r="A2" t="s">
        <v>164</v>
      </c>
      <c r="B2">
        <v>48000</v>
      </c>
    </row>
    <row r="3" spans="1:19" x14ac:dyDescent="0.25">
      <c r="A3" t="s">
        <v>167</v>
      </c>
      <c r="B3" s="2">
        <v>2780000</v>
      </c>
    </row>
    <row r="4" spans="1:19" x14ac:dyDescent="0.25">
      <c r="A4" t="s">
        <v>169</v>
      </c>
      <c r="B4" s="2">
        <v>3000</v>
      </c>
    </row>
    <row r="5" spans="1:19" x14ac:dyDescent="0.25">
      <c r="B5" s="2"/>
    </row>
    <row r="6" spans="1:19" x14ac:dyDescent="0.25">
      <c r="A6" t="s">
        <v>168</v>
      </c>
      <c r="B6" s="28">
        <v>300</v>
      </c>
      <c r="E6" t="s">
        <v>168</v>
      </c>
      <c r="F6" s="28">
        <v>400</v>
      </c>
      <c r="I6" t="s">
        <v>168</v>
      </c>
      <c r="J6" s="28">
        <v>450</v>
      </c>
      <c r="M6" t="s">
        <v>168</v>
      </c>
      <c r="N6" s="28">
        <v>500</v>
      </c>
      <c r="Q6" t="s">
        <v>168</v>
      </c>
      <c r="R6" s="28">
        <v>550</v>
      </c>
    </row>
    <row r="7" spans="1:19" x14ac:dyDescent="0.25">
      <c r="A7" t="s">
        <v>149</v>
      </c>
      <c r="B7" t="s">
        <v>165</v>
      </c>
      <c r="C7" t="s">
        <v>166</v>
      </c>
      <c r="E7" t="s">
        <v>149</v>
      </c>
      <c r="F7" t="s">
        <v>165</v>
      </c>
      <c r="G7" t="s">
        <v>166</v>
      </c>
      <c r="I7" t="s">
        <v>149</v>
      </c>
      <c r="J7" t="s">
        <v>165</v>
      </c>
      <c r="K7" t="s">
        <v>166</v>
      </c>
      <c r="M7" t="s">
        <v>149</v>
      </c>
      <c r="N7" t="s">
        <v>165</v>
      </c>
      <c r="O7" t="s">
        <v>166</v>
      </c>
      <c r="Q7" t="s">
        <v>149</v>
      </c>
      <c r="R7" t="s">
        <v>165</v>
      </c>
      <c r="S7" t="s">
        <v>166</v>
      </c>
    </row>
    <row r="8" spans="1:19" x14ac:dyDescent="0.25">
      <c r="A8">
        <v>0</v>
      </c>
      <c r="B8" s="2">
        <f>$B$1*(1-A8)*EXP(-$B$2/8.314/B$6)</f>
        <v>2.1451842905892381E-2</v>
      </c>
      <c r="C8" s="2">
        <f>B8*$B$3*$B$4</f>
        <v>178908369.83514243</v>
      </c>
      <c r="E8">
        <v>0</v>
      </c>
      <c r="F8" s="2">
        <f>$B$1*(1-E8)*EXP(-$B$2/8.314/F$6)</f>
        <v>2.635880217655548</v>
      </c>
      <c r="G8" s="2">
        <f>F8*$B$3*$B$4</f>
        <v>21983241015.247272</v>
      </c>
      <c r="I8">
        <v>0</v>
      </c>
      <c r="J8" s="2">
        <f>$B$1*(1-I8)*EXP(-$B$2/8.314/J$6)</f>
        <v>13.104265744121324</v>
      </c>
      <c r="K8" s="2">
        <f>J8*$B$3*$B$4</f>
        <v>109289576305.97185</v>
      </c>
      <c r="M8">
        <v>0</v>
      </c>
      <c r="N8" s="2">
        <f>$B$1*(1-M8)*EXP(-$B$2/8.314/N$6)</f>
        <v>47.271818380048181</v>
      </c>
      <c r="O8" s="2">
        <f>N8*$B$3*$B$4</f>
        <v>394246965289.60181</v>
      </c>
      <c r="Q8">
        <v>0</v>
      </c>
      <c r="R8" s="2">
        <f>$B$1*(1-Q8)*EXP(-$B$2/8.314/R$6)</f>
        <v>135.04693193199438</v>
      </c>
      <c r="S8" s="2">
        <f>R8*$B$3*$B$4</f>
        <v>1126291412312.833</v>
      </c>
    </row>
    <row r="9" spans="1:19" x14ac:dyDescent="0.25">
      <c r="A9">
        <v>0.01</v>
      </c>
      <c r="B9" s="2">
        <f t="shared" ref="B9:B72" si="0">$B$1*(1-A9)*EXP(-$B$2/8.314/B$6)</f>
        <v>2.1237324476833457E-2</v>
      </c>
      <c r="C9" s="2">
        <f t="shared" ref="C9:C72" si="1">B9*$B$3*$B$4</f>
        <v>177119286.13679102</v>
      </c>
      <c r="E9">
        <v>0.01</v>
      </c>
      <c r="F9" s="2">
        <f t="shared" ref="F9:F72" si="2">$B$1*(1-E9)*EXP(-$B$2/8.314/F$6)</f>
        <v>2.6095214154789925</v>
      </c>
      <c r="G9" s="2">
        <f t="shared" ref="G9:G72" si="3">F9*$B$3*$B$4</f>
        <v>21763408605.094795</v>
      </c>
      <c r="I9">
        <v>0.01</v>
      </c>
      <c r="J9" s="2">
        <f t="shared" ref="J9:J72" si="4">$B$1*(1-I9)*EXP(-$B$2/8.314/J$6)</f>
        <v>12.973223086680113</v>
      </c>
      <c r="K9" s="2">
        <f t="shared" ref="K9:K72" si="5">J9*$B$3*$B$4</f>
        <v>108196680542.91214</v>
      </c>
      <c r="M9">
        <v>0.01</v>
      </c>
      <c r="N9" s="2">
        <f t="shared" ref="N9:N72" si="6">$B$1*(1-M9)*EXP(-$B$2/8.314/N$6)</f>
        <v>46.7991001962477</v>
      </c>
      <c r="O9" s="2">
        <f t="shared" ref="O9:O72" si="7">N9*$B$3*$B$4</f>
        <v>390304495636.70581</v>
      </c>
      <c r="Q9">
        <v>0.01</v>
      </c>
      <c r="R9" s="2">
        <f t="shared" ref="R9:R72" si="8">$B$1*(1-Q9)*EXP(-$B$2/8.314/R$6)</f>
        <v>133.69646261267445</v>
      </c>
      <c r="S9" s="2">
        <f t="shared" ref="S9:S72" si="9">R9*$B$3*$B$4</f>
        <v>1115028498189.7048</v>
      </c>
    </row>
    <row r="10" spans="1:19" x14ac:dyDescent="0.25">
      <c r="A10">
        <v>0.02</v>
      </c>
      <c r="B10" s="2">
        <f t="shared" si="0"/>
        <v>2.1022806047774536E-2</v>
      </c>
      <c r="C10" s="2">
        <f t="shared" si="1"/>
        <v>175330202.43843964</v>
      </c>
      <c r="E10">
        <v>0.02</v>
      </c>
      <c r="F10" s="2">
        <f t="shared" si="2"/>
        <v>2.583162613302437</v>
      </c>
      <c r="G10" s="2">
        <f t="shared" si="3"/>
        <v>21543576194.942326</v>
      </c>
      <c r="I10">
        <v>0.02</v>
      </c>
      <c r="J10" s="2">
        <f t="shared" si="4"/>
        <v>12.842180429238899</v>
      </c>
      <c r="K10" s="2">
        <f t="shared" si="5"/>
        <v>107103784779.85242</v>
      </c>
      <c r="M10">
        <v>0.02</v>
      </c>
      <c r="N10" s="2">
        <f t="shared" si="6"/>
        <v>46.326382012447219</v>
      </c>
      <c r="O10" s="2">
        <f t="shared" si="7"/>
        <v>386362025983.80981</v>
      </c>
      <c r="Q10">
        <v>0.02</v>
      </c>
      <c r="R10" s="2">
        <f t="shared" si="8"/>
        <v>132.3459932933545</v>
      </c>
      <c r="S10" s="2">
        <f t="shared" si="9"/>
        <v>1103765584066.5764</v>
      </c>
    </row>
    <row r="11" spans="1:19" x14ac:dyDescent="0.25">
      <c r="A11">
        <v>0.03</v>
      </c>
      <c r="B11" s="2">
        <f t="shared" si="0"/>
        <v>2.0808287618715612E-2</v>
      </c>
      <c r="C11" s="2">
        <f t="shared" si="1"/>
        <v>173541118.74008819</v>
      </c>
      <c r="E11">
        <v>0.03</v>
      </c>
      <c r="F11" s="2">
        <f t="shared" si="2"/>
        <v>2.5568038111258815</v>
      </c>
      <c r="G11" s="2">
        <f t="shared" si="3"/>
        <v>21323743784.789852</v>
      </c>
      <c r="I11">
        <v>0.03</v>
      </c>
      <c r="J11" s="2">
        <f t="shared" si="4"/>
        <v>12.711137771797686</v>
      </c>
      <c r="K11" s="2">
        <f t="shared" si="5"/>
        <v>106010889016.79271</v>
      </c>
      <c r="M11">
        <v>0.03</v>
      </c>
      <c r="N11" s="2">
        <f t="shared" si="6"/>
        <v>45.853663828646738</v>
      </c>
      <c r="O11" s="2">
        <f t="shared" si="7"/>
        <v>382419556330.91382</v>
      </c>
      <c r="Q11">
        <v>0.03</v>
      </c>
      <c r="R11" s="2">
        <f t="shared" si="8"/>
        <v>130.99552397403454</v>
      </c>
      <c r="S11" s="2">
        <f t="shared" si="9"/>
        <v>1092502669943.448</v>
      </c>
    </row>
    <row r="12" spans="1:19" x14ac:dyDescent="0.25">
      <c r="A12">
        <v>0.04</v>
      </c>
      <c r="B12" s="2">
        <f t="shared" si="0"/>
        <v>2.0593769189656688E-2</v>
      </c>
      <c r="C12" s="2">
        <f t="shared" si="1"/>
        <v>171752035.04173678</v>
      </c>
      <c r="E12">
        <v>0.04</v>
      </c>
      <c r="F12" s="2">
        <f t="shared" si="2"/>
        <v>2.530445008949326</v>
      </c>
      <c r="G12" s="2">
        <f t="shared" si="3"/>
        <v>21103911374.637379</v>
      </c>
      <c r="I12">
        <v>0.04</v>
      </c>
      <c r="J12" s="2">
        <f t="shared" si="4"/>
        <v>12.580095114356473</v>
      </c>
      <c r="K12" s="2">
        <f t="shared" si="5"/>
        <v>104917993253.73299</v>
      </c>
      <c r="M12">
        <v>0.04</v>
      </c>
      <c r="N12" s="2">
        <f t="shared" si="6"/>
        <v>45.380945644846257</v>
      </c>
      <c r="O12" s="2">
        <f t="shared" si="7"/>
        <v>378477086678.01782</v>
      </c>
      <c r="Q12">
        <v>0.04</v>
      </c>
      <c r="R12" s="2">
        <f t="shared" si="8"/>
        <v>129.64505465471461</v>
      </c>
      <c r="S12" s="2">
        <f t="shared" si="9"/>
        <v>1081239755820.3199</v>
      </c>
    </row>
    <row r="13" spans="1:19" x14ac:dyDescent="0.25">
      <c r="A13">
        <v>0.05</v>
      </c>
      <c r="B13" s="2">
        <f t="shared" si="0"/>
        <v>2.0379250760597763E-2</v>
      </c>
      <c r="C13" s="2">
        <f t="shared" si="1"/>
        <v>169962951.34338534</v>
      </c>
      <c r="E13">
        <v>0.05</v>
      </c>
      <c r="F13" s="2">
        <f t="shared" si="2"/>
        <v>2.5040862067727705</v>
      </c>
      <c r="G13" s="2">
        <f t="shared" si="3"/>
        <v>20884078964.484905</v>
      </c>
      <c r="I13">
        <v>0.05</v>
      </c>
      <c r="J13" s="2">
        <f t="shared" si="4"/>
        <v>12.449052456915259</v>
      </c>
      <c r="K13" s="2">
        <f t="shared" si="5"/>
        <v>103825097490.67328</v>
      </c>
      <c r="M13">
        <v>0.05</v>
      </c>
      <c r="N13" s="2">
        <f t="shared" si="6"/>
        <v>44.908227461045776</v>
      </c>
      <c r="O13" s="2">
        <f t="shared" si="7"/>
        <v>374534617025.12177</v>
      </c>
      <c r="Q13">
        <v>0.05</v>
      </c>
      <c r="R13" s="2">
        <f t="shared" si="8"/>
        <v>128.29458533539466</v>
      </c>
      <c r="S13" s="2">
        <f t="shared" si="9"/>
        <v>1069976841697.1914</v>
      </c>
    </row>
    <row r="14" spans="1:19" x14ac:dyDescent="0.25">
      <c r="A14">
        <v>0.06</v>
      </c>
      <c r="B14" s="2">
        <f t="shared" si="0"/>
        <v>2.0164732331538839E-2</v>
      </c>
      <c r="C14" s="2">
        <f t="shared" si="1"/>
        <v>168173867.64503393</v>
      </c>
      <c r="E14">
        <v>0.06</v>
      </c>
      <c r="F14" s="2">
        <f t="shared" si="2"/>
        <v>2.477727404596215</v>
      </c>
      <c r="G14" s="2">
        <f t="shared" si="3"/>
        <v>20664246554.332432</v>
      </c>
      <c r="I14">
        <v>0.06</v>
      </c>
      <c r="J14" s="2">
        <f t="shared" si="4"/>
        <v>12.318009799474046</v>
      </c>
      <c r="K14" s="2">
        <f t="shared" si="5"/>
        <v>102732201727.61354</v>
      </c>
      <c r="M14">
        <v>0.06</v>
      </c>
      <c r="N14" s="2">
        <f t="shared" si="6"/>
        <v>44.435509277245295</v>
      </c>
      <c r="O14" s="2">
        <f t="shared" si="7"/>
        <v>370592147372.22577</v>
      </c>
      <c r="Q14">
        <v>0.06</v>
      </c>
      <c r="R14" s="2">
        <f t="shared" si="8"/>
        <v>126.94411601607472</v>
      </c>
      <c r="S14" s="2">
        <f t="shared" si="9"/>
        <v>1058713927574.0631</v>
      </c>
    </row>
    <row r="15" spans="1:19" x14ac:dyDescent="0.25">
      <c r="A15">
        <v>7.0000000000000007E-2</v>
      </c>
      <c r="B15" s="2">
        <f t="shared" si="0"/>
        <v>1.9950213902479915E-2</v>
      </c>
      <c r="C15" s="2">
        <f t="shared" si="1"/>
        <v>166384783.94668248</v>
      </c>
      <c r="E15">
        <v>7.0000000000000007E-2</v>
      </c>
      <c r="F15" s="2">
        <f t="shared" si="2"/>
        <v>2.4513686024196595</v>
      </c>
      <c r="G15" s="2">
        <f t="shared" si="3"/>
        <v>20444414144.179958</v>
      </c>
      <c r="I15">
        <v>7.0000000000000007E-2</v>
      </c>
      <c r="J15" s="2">
        <f t="shared" si="4"/>
        <v>12.186967142032833</v>
      </c>
      <c r="K15" s="2">
        <f t="shared" si="5"/>
        <v>101639305964.55382</v>
      </c>
      <c r="M15">
        <v>7.0000000000000007E-2</v>
      </c>
      <c r="N15" s="2">
        <f t="shared" si="6"/>
        <v>43.962791093444807</v>
      </c>
      <c r="O15" s="2">
        <f t="shared" si="7"/>
        <v>366649677719.32971</v>
      </c>
      <c r="Q15">
        <v>7.0000000000000007E-2</v>
      </c>
      <c r="R15" s="2">
        <f t="shared" si="8"/>
        <v>125.59364669675477</v>
      </c>
      <c r="S15" s="2">
        <f t="shared" si="9"/>
        <v>1047451013450.9348</v>
      </c>
    </row>
    <row r="16" spans="1:19" x14ac:dyDescent="0.25">
      <c r="A16">
        <v>0.08</v>
      </c>
      <c r="B16" s="2">
        <f t="shared" si="0"/>
        <v>1.9735695473420991E-2</v>
      </c>
      <c r="C16" s="2">
        <f t="shared" si="1"/>
        <v>164595700.24833107</v>
      </c>
      <c r="E16">
        <v>0.08</v>
      </c>
      <c r="F16" s="2">
        <f t="shared" si="2"/>
        <v>2.425009800243104</v>
      </c>
      <c r="G16" s="2">
        <f t="shared" si="3"/>
        <v>20224581734.027489</v>
      </c>
      <c r="I16">
        <v>0.08</v>
      </c>
      <c r="J16" s="2">
        <f t="shared" si="4"/>
        <v>12.055924484591619</v>
      </c>
      <c r="K16" s="2">
        <f t="shared" si="5"/>
        <v>100546410201.49409</v>
      </c>
      <c r="M16">
        <v>0.08</v>
      </c>
      <c r="N16" s="2">
        <f t="shared" si="6"/>
        <v>43.490072909644326</v>
      </c>
      <c r="O16" s="2">
        <f t="shared" si="7"/>
        <v>362707208066.43365</v>
      </c>
      <c r="Q16">
        <v>0.08</v>
      </c>
      <c r="R16" s="2">
        <f t="shared" si="8"/>
        <v>124.24317737743483</v>
      </c>
      <c r="S16" s="2">
        <f t="shared" si="9"/>
        <v>1036188099327.8065</v>
      </c>
    </row>
    <row r="17" spans="1:19" x14ac:dyDescent="0.25">
      <c r="A17">
        <v>0.09</v>
      </c>
      <c r="B17" s="2">
        <f t="shared" si="0"/>
        <v>1.9521177044362067E-2</v>
      </c>
      <c r="C17" s="2">
        <f t="shared" si="1"/>
        <v>162806616.54997963</v>
      </c>
      <c r="E17">
        <v>0.09</v>
      </c>
      <c r="F17" s="2">
        <f t="shared" si="2"/>
        <v>2.3986509980665485</v>
      </c>
      <c r="G17" s="2">
        <f t="shared" si="3"/>
        <v>20004749323.875015</v>
      </c>
      <c r="I17">
        <v>0.09</v>
      </c>
      <c r="J17" s="2">
        <f t="shared" si="4"/>
        <v>11.924881827150406</v>
      </c>
      <c r="K17" s="2">
        <f t="shared" si="5"/>
        <v>99453514438.434387</v>
      </c>
      <c r="M17">
        <v>0.09</v>
      </c>
      <c r="N17" s="2">
        <f t="shared" si="6"/>
        <v>43.017354725843845</v>
      </c>
      <c r="O17" s="2">
        <f t="shared" si="7"/>
        <v>358764738413.53766</v>
      </c>
      <c r="Q17">
        <v>0.09</v>
      </c>
      <c r="R17" s="2">
        <f t="shared" si="8"/>
        <v>122.89270805811489</v>
      </c>
      <c r="S17" s="2">
        <f t="shared" si="9"/>
        <v>1024925185204.6782</v>
      </c>
    </row>
    <row r="18" spans="1:19" x14ac:dyDescent="0.25">
      <c r="A18">
        <v>0.1</v>
      </c>
      <c r="B18" s="2">
        <f t="shared" si="0"/>
        <v>1.9306658615303143E-2</v>
      </c>
      <c r="C18" s="2">
        <f t="shared" si="1"/>
        <v>161017532.85162821</v>
      </c>
      <c r="E18">
        <v>0.1</v>
      </c>
      <c r="F18" s="2">
        <f t="shared" si="2"/>
        <v>2.372292195889993</v>
      </c>
      <c r="G18" s="2">
        <f t="shared" si="3"/>
        <v>19784916913.722542</v>
      </c>
      <c r="I18">
        <v>0.1</v>
      </c>
      <c r="J18" s="2">
        <f t="shared" si="4"/>
        <v>11.793839169709193</v>
      </c>
      <c r="K18" s="2">
        <f t="shared" si="5"/>
        <v>98360618675.374664</v>
      </c>
      <c r="M18">
        <v>0.1</v>
      </c>
      <c r="N18" s="2">
        <f t="shared" si="6"/>
        <v>42.544636542043364</v>
      </c>
      <c r="O18" s="2">
        <f t="shared" si="7"/>
        <v>354822268760.64166</v>
      </c>
      <c r="Q18">
        <v>0.1</v>
      </c>
      <c r="R18" s="2">
        <f t="shared" si="8"/>
        <v>121.54223873879495</v>
      </c>
      <c r="S18" s="2">
        <f t="shared" si="9"/>
        <v>1013662271081.5499</v>
      </c>
    </row>
    <row r="19" spans="1:19" x14ac:dyDescent="0.25">
      <c r="A19">
        <v>0.11</v>
      </c>
      <c r="B19" s="2">
        <f t="shared" si="0"/>
        <v>1.9092140186244218E-2</v>
      </c>
      <c r="C19" s="2">
        <f t="shared" si="1"/>
        <v>159228449.15327677</v>
      </c>
      <c r="E19">
        <v>0.11</v>
      </c>
      <c r="F19" s="2">
        <f t="shared" si="2"/>
        <v>2.3459333937134375</v>
      </c>
      <c r="G19" s="2">
        <f t="shared" si="3"/>
        <v>19565084503.570068</v>
      </c>
      <c r="I19">
        <v>0.11</v>
      </c>
      <c r="J19" s="2">
        <f t="shared" si="4"/>
        <v>11.662796512267979</v>
      </c>
      <c r="K19" s="2">
        <f t="shared" si="5"/>
        <v>97267722912.314957</v>
      </c>
      <c r="M19">
        <v>0.11</v>
      </c>
      <c r="N19" s="2">
        <f t="shared" si="6"/>
        <v>42.071918358242883</v>
      </c>
      <c r="O19" s="2">
        <f t="shared" si="7"/>
        <v>350879799107.74561</v>
      </c>
      <c r="Q19">
        <v>0.11</v>
      </c>
      <c r="R19" s="2">
        <f t="shared" si="8"/>
        <v>120.19176941947501</v>
      </c>
      <c r="S19" s="2">
        <f t="shared" si="9"/>
        <v>1002399356958.4216</v>
      </c>
    </row>
    <row r="20" spans="1:19" x14ac:dyDescent="0.25">
      <c r="A20">
        <v>0.12</v>
      </c>
      <c r="B20" s="2">
        <f t="shared" si="0"/>
        <v>1.8877621757185294E-2</v>
      </c>
      <c r="C20" s="2">
        <f t="shared" si="1"/>
        <v>157439365.45492536</v>
      </c>
      <c r="E20">
        <v>0.12</v>
      </c>
      <c r="F20" s="2">
        <f t="shared" si="2"/>
        <v>2.3195745915368819</v>
      </c>
      <c r="G20" s="2">
        <f t="shared" si="3"/>
        <v>19345252093.417595</v>
      </c>
      <c r="I20">
        <v>0.12</v>
      </c>
      <c r="J20" s="2">
        <f t="shared" si="4"/>
        <v>11.531753854826766</v>
      </c>
      <c r="K20" s="2">
        <f t="shared" si="5"/>
        <v>96174827149.255219</v>
      </c>
      <c r="M20">
        <v>0.12</v>
      </c>
      <c r="N20" s="2">
        <f t="shared" si="6"/>
        <v>41.599200174442402</v>
      </c>
      <c r="O20" s="2">
        <f t="shared" si="7"/>
        <v>346937329454.84961</v>
      </c>
      <c r="Q20">
        <v>0.12</v>
      </c>
      <c r="R20" s="2">
        <f t="shared" si="8"/>
        <v>118.84130010015505</v>
      </c>
      <c r="S20" s="2">
        <f t="shared" si="9"/>
        <v>991136442835.29321</v>
      </c>
    </row>
    <row r="21" spans="1:19" x14ac:dyDescent="0.25">
      <c r="A21">
        <v>0.13</v>
      </c>
      <c r="B21" s="2">
        <f t="shared" si="0"/>
        <v>1.8663103328126374E-2</v>
      </c>
      <c r="C21" s="2">
        <f t="shared" si="1"/>
        <v>155650281.75657395</v>
      </c>
      <c r="E21">
        <v>0.13</v>
      </c>
      <c r="F21" s="2">
        <f t="shared" si="2"/>
        <v>2.2932157893603264</v>
      </c>
      <c r="G21" s="2">
        <f t="shared" si="3"/>
        <v>19125419683.265125</v>
      </c>
      <c r="I21">
        <v>0.13</v>
      </c>
      <c r="J21" s="2">
        <f t="shared" si="4"/>
        <v>11.400711197385553</v>
      </c>
      <c r="K21" s="2">
        <f t="shared" si="5"/>
        <v>95081931386.195511</v>
      </c>
      <c r="M21">
        <v>0.13</v>
      </c>
      <c r="N21" s="2">
        <f t="shared" si="6"/>
        <v>41.126481990641921</v>
      </c>
      <c r="O21" s="2">
        <f t="shared" si="7"/>
        <v>342994859801.95361</v>
      </c>
      <c r="Q21">
        <v>0.13</v>
      </c>
      <c r="R21" s="2">
        <f t="shared" si="8"/>
        <v>117.49083078083511</v>
      </c>
      <c r="S21" s="2">
        <f t="shared" si="9"/>
        <v>979873528712.16492</v>
      </c>
    </row>
    <row r="22" spans="1:19" x14ac:dyDescent="0.25">
      <c r="A22">
        <v>0.14000000000000001</v>
      </c>
      <c r="B22" s="2">
        <f t="shared" si="0"/>
        <v>1.8448584899067449E-2</v>
      </c>
      <c r="C22" s="2">
        <f t="shared" si="1"/>
        <v>153861198.05822253</v>
      </c>
      <c r="E22">
        <v>0.14000000000000001</v>
      </c>
      <c r="F22" s="2">
        <f t="shared" si="2"/>
        <v>2.2668569871837709</v>
      </c>
      <c r="G22" s="2">
        <f t="shared" si="3"/>
        <v>18905587273.112648</v>
      </c>
      <c r="I22">
        <v>0.14000000000000001</v>
      </c>
      <c r="J22" s="2">
        <f t="shared" si="4"/>
        <v>11.269668539944339</v>
      </c>
      <c r="K22" s="2">
        <f t="shared" si="5"/>
        <v>93989035623.135788</v>
      </c>
      <c r="M22">
        <v>0.14000000000000001</v>
      </c>
      <c r="N22" s="2">
        <f t="shared" si="6"/>
        <v>40.65376380684144</v>
      </c>
      <c r="O22" s="2">
        <f t="shared" si="7"/>
        <v>339052390149.05762</v>
      </c>
      <c r="Q22">
        <v>0.14000000000000001</v>
      </c>
      <c r="R22" s="2">
        <f t="shared" si="8"/>
        <v>116.14036146151517</v>
      </c>
      <c r="S22" s="2">
        <f t="shared" si="9"/>
        <v>968610614589.03662</v>
      </c>
    </row>
    <row r="23" spans="1:19" x14ac:dyDescent="0.25">
      <c r="A23">
        <v>0.15</v>
      </c>
      <c r="B23" s="2">
        <f t="shared" si="0"/>
        <v>1.8234066470008525E-2</v>
      </c>
      <c r="C23" s="2">
        <f t="shared" si="1"/>
        <v>152072114.35987109</v>
      </c>
      <c r="E23">
        <v>0.15</v>
      </c>
      <c r="F23" s="2">
        <f t="shared" si="2"/>
        <v>2.2404981850072159</v>
      </c>
      <c r="G23" s="2">
        <f t="shared" si="3"/>
        <v>18685754862.960178</v>
      </c>
      <c r="I23">
        <v>0.15</v>
      </c>
      <c r="J23" s="2">
        <f t="shared" si="4"/>
        <v>11.138625882503126</v>
      </c>
      <c r="K23" s="2">
        <f t="shared" si="5"/>
        <v>92896139860.07608</v>
      </c>
      <c r="M23">
        <v>0.15</v>
      </c>
      <c r="N23" s="2">
        <f t="shared" si="6"/>
        <v>40.181045623040959</v>
      </c>
      <c r="O23" s="2">
        <f t="shared" si="7"/>
        <v>335109920496.16162</v>
      </c>
      <c r="Q23">
        <v>0.15</v>
      </c>
      <c r="R23" s="2">
        <f t="shared" si="8"/>
        <v>114.78989214219523</v>
      </c>
      <c r="S23" s="2">
        <f t="shared" si="9"/>
        <v>957347700465.90833</v>
      </c>
    </row>
    <row r="24" spans="1:19" x14ac:dyDescent="0.25">
      <c r="A24">
        <v>0.16</v>
      </c>
      <c r="B24" s="2">
        <f t="shared" si="0"/>
        <v>1.8019548040949601E-2</v>
      </c>
      <c r="C24" s="2">
        <f t="shared" si="1"/>
        <v>150283030.66151968</v>
      </c>
      <c r="E24">
        <v>0.16</v>
      </c>
      <c r="F24" s="2">
        <f t="shared" si="2"/>
        <v>2.2141393828306604</v>
      </c>
      <c r="G24" s="2">
        <f t="shared" si="3"/>
        <v>18465922452.807709</v>
      </c>
      <c r="I24">
        <v>0.16</v>
      </c>
      <c r="J24" s="2">
        <f t="shared" si="4"/>
        <v>11.007583225061913</v>
      </c>
      <c r="K24" s="2">
        <f t="shared" si="5"/>
        <v>91803244097.016342</v>
      </c>
      <c r="M24">
        <v>0.16</v>
      </c>
      <c r="N24" s="2">
        <f t="shared" si="6"/>
        <v>39.70832743924047</v>
      </c>
      <c r="O24" s="2">
        <f t="shared" si="7"/>
        <v>331167450843.2655</v>
      </c>
      <c r="Q24">
        <v>0.16</v>
      </c>
      <c r="R24" s="2">
        <f t="shared" si="8"/>
        <v>113.43942282287529</v>
      </c>
      <c r="S24" s="2">
        <f t="shared" si="9"/>
        <v>946084786342.77979</v>
      </c>
    </row>
    <row r="25" spans="1:19" x14ac:dyDescent="0.25">
      <c r="A25">
        <v>0.17</v>
      </c>
      <c r="B25" s="2">
        <f t="shared" si="0"/>
        <v>1.7805029611890677E-2</v>
      </c>
      <c r="C25" s="2">
        <f t="shared" si="1"/>
        <v>148493946.96316823</v>
      </c>
      <c r="E25">
        <v>0.17</v>
      </c>
      <c r="F25" s="2">
        <f t="shared" si="2"/>
        <v>2.1877805806541049</v>
      </c>
      <c r="G25" s="2">
        <f t="shared" si="3"/>
        <v>18246090042.655235</v>
      </c>
      <c r="I25">
        <v>0.17</v>
      </c>
      <c r="J25" s="2">
        <f t="shared" si="4"/>
        <v>10.876540567620699</v>
      </c>
      <c r="K25" s="2">
        <f t="shared" si="5"/>
        <v>90710348333.956635</v>
      </c>
      <c r="M25">
        <v>0.17</v>
      </c>
      <c r="N25" s="2">
        <f t="shared" si="6"/>
        <v>39.235609255439989</v>
      </c>
      <c r="O25" s="2">
        <f t="shared" si="7"/>
        <v>327224981190.36951</v>
      </c>
      <c r="Q25">
        <v>0.17</v>
      </c>
      <c r="R25" s="2">
        <f t="shared" si="8"/>
        <v>112.08895350355535</v>
      </c>
      <c r="S25" s="2">
        <f t="shared" si="9"/>
        <v>934821872219.65149</v>
      </c>
    </row>
    <row r="26" spans="1:19" x14ac:dyDescent="0.25">
      <c r="A26">
        <v>0.18</v>
      </c>
      <c r="B26" s="2">
        <f t="shared" si="0"/>
        <v>1.7590511182831756E-2</v>
      </c>
      <c r="C26" s="2">
        <f t="shared" si="1"/>
        <v>146704863.26481685</v>
      </c>
      <c r="E26">
        <v>0.18</v>
      </c>
      <c r="F26" s="2">
        <f t="shared" si="2"/>
        <v>2.1614217784775493</v>
      </c>
      <c r="G26" s="2">
        <f t="shared" si="3"/>
        <v>18026257632.502762</v>
      </c>
      <c r="I26">
        <v>0.18</v>
      </c>
      <c r="J26" s="2">
        <f t="shared" si="4"/>
        <v>10.745497910179488</v>
      </c>
      <c r="K26" s="2">
        <f t="shared" si="5"/>
        <v>89617452570.896927</v>
      </c>
      <c r="M26">
        <v>0.18</v>
      </c>
      <c r="N26" s="2">
        <f t="shared" si="6"/>
        <v>38.762891071639515</v>
      </c>
      <c r="O26" s="2">
        <f t="shared" si="7"/>
        <v>323282511537.47357</v>
      </c>
      <c r="Q26">
        <v>0.18</v>
      </c>
      <c r="R26" s="2">
        <f t="shared" si="8"/>
        <v>110.7384841842354</v>
      </c>
      <c r="S26" s="2">
        <f t="shared" si="9"/>
        <v>923558958096.52319</v>
      </c>
    </row>
    <row r="27" spans="1:19" x14ac:dyDescent="0.25">
      <c r="A27">
        <v>0.19</v>
      </c>
      <c r="B27" s="2">
        <f t="shared" si="0"/>
        <v>1.7375992753772832E-2</v>
      </c>
      <c r="C27" s="2">
        <f t="shared" si="1"/>
        <v>144915779.56646544</v>
      </c>
      <c r="E27">
        <v>0.19</v>
      </c>
      <c r="F27" s="2">
        <f t="shared" si="2"/>
        <v>2.1350629763009938</v>
      </c>
      <c r="G27" s="2">
        <f t="shared" si="3"/>
        <v>17806425222.350288</v>
      </c>
      <c r="I27">
        <v>0.19</v>
      </c>
      <c r="J27" s="2">
        <f t="shared" si="4"/>
        <v>10.614455252738274</v>
      </c>
      <c r="K27" s="2">
        <f t="shared" si="5"/>
        <v>88524556807.837204</v>
      </c>
      <c r="M27">
        <v>0.19</v>
      </c>
      <c r="N27" s="2">
        <f t="shared" si="6"/>
        <v>38.290172887839034</v>
      </c>
      <c r="O27" s="2">
        <f t="shared" si="7"/>
        <v>319340041884.57751</v>
      </c>
      <c r="Q27">
        <v>0.19</v>
      </c>
      <c r="R27" s="2">
        <f t="shared" si="8"/>
        <v>109.38801486491546</v>
      </c>
      <c r="S27" s="2">
        <f t="shared" si="9"/>
        <v>912296043973.3949</v>
      </c>
    </row>
    <row r="28" spans="1:19" x14ac:dyDescent="0.25">
      <c r="A28">
        <v>0.2</v>
      </c>
      <c r="B28" s="2">
        <f t="shared" si="0"/>
        <v>1.7161474324713905E-2</v>
      </c>
      <c r="C28" s="2">
        <f t="shared" si="1"/>
        <v>143126695.86811396</v>
      </c>
      <c r="E28">
        <v>0.2</v>
      </c>
      <c r="F28" s="2">
        <f t="shared" si="2"/>
        <v>2.1087041741244383</v>
      </c>
      <c r="G28" s="2">
        <f t="shared" si="3"/>
        <v>17586592812.197815</v>
      </c>
      <c r="I28">
        <v>0.2</v>
      </c>
      <c r="J28" s="2">
        <f t="shared" si="4"/>
        <v>10.483412595297061</v>
      </c>
      <c r="K28" s="2">
        <f t="shared" si="5"/>
        <v>87431661044.777496</v>
      </c>
      <c r="M28">
        <v>0.2</v>
      </c>
      <c r="N28" s="2">
        <f t="shared" si="6"/>
        <v>37.817454704038546</v>
      </c>
      <c r="O28" s="2">
        <f t="shared" si="7"/>
        <v>315397572231.68146</v>
      </c>
      <c r="Q28">
        <v>0.2</v>
      </c>
      <c r="R28" s="2">
        <f t="shared" si="8"/>
        <v>108.03754554559551</v>
      </c>
      <c r="S28" s="2">
        <f t="shared" si="9"/>
        <v>901033129850.26648</v>
      </c>
    </row>
    <row r="29" spans="1:19" x14ac:dyDescent="0.25">
      <c r="A29">
        <v>0.21</v>
      </c>
      <c r="B29" s="2">
        <f t="shared" si="0"/>
        <v>1.694695589565498E-2</v>
      </c>
      <c r="C29" s="2">
        <f t="shared" si="1"/>
        <v>141337612.16976252</v>
      </c>
      <c r="E29">
        <v>0.21</v>
      </c>
      <c r="F29" s="2">
        <f t="shared" si="2"/>
        <v>2.0823453719478828</v>
      </c>
      <c r="G29" s="2">
        <f t="shared" si="3"/>
        <v>17366760402.045341</v>
      </c>
      <c r="I29">
        <v>0.21</v>
      </c>
      <c r="J29" s="2">
        <f t="shared" si="4"/>
        <v>10.352369937855848</v>
      </c>
      <c r="K29" s="2">
        <f t="shared" si="5"/>
        <v>86338765281.717773</v>
      </c>
      <c r="M29">
        <v>0.21</v>
      </c>
      <c r="N29" s="2">
        <f t="shared" si="6"/>
        <v>37.344736520238065</v>
      </c>
      <c r="O29" s="2">
        <f t="shared" si="7"/>
        <v>311455102578.78546</v>
      </c>
      <c r="Q29">
        <v>0.21</v>
      </c>
      <c r="R29" s="2">
        <f t="shared" si="8"/>
        <v>106.68707622627556</v>
      </c>
      <c r="S29" s="2">
        <f t="shared" si="9"/>
        <v>889770215727.13818</v>
      </c>
    </row>
    <row r="30" spans="1:19" x14ac:dyDescent="0.25">
      <c r="A30">
        <v>0.22</v>
      </c>
      <c r="B30" s="2">
        <f t="shared" si="0"/>
        <v>1.6732437466596056E-2</v>
      </c>
      <c r="C30" s="2">
        <f t="shared" si="1"/>
        <v>139548528.47141111</v>
      </c>
      <c r="E30">
        <v>0.22</v>
      </c>
      <c r="F30" s="2">
        <f t="shared" si="2"/>
        <v>2.0559865697713273</v>
      </c>
      <c r="G30" s="2">
        <f t="shared" si="3"/>
        <v>17146927991.89287</v>
      </c>
      <c r="I30">
        <v>0.22</v>
      </c>
      <c r="J30" s="2">
        <f t="shared" si="4"/>
        <v>10.221327280414634</v>
      </c>
      <c r="K30" s="2">
        <f t="shared" si="5"/>
        <v>85245869518.658051</v>
      </c>
      <c r="M30">
        <v>0.22</v>
      </c>
      <c r="N30" s="2">
        <f t="shared" si="6"/>
        <v>36.872018336437584</v>
      </c>
      <c r="O30" s="2">
        <f t="shared" si="7"/>
        <v>307512632925.88947</v>
      </c>
      <c r="Q30">
        <v>0.22</v>
      </c>
      <c r="R30" s="2">
        <f t="shared" si="8"/>
        <v>105.33660690695562</v>
      </c>
      <c r="S30" s="2">
        <f t="shared" si="9"/>
        <v>878507301604.00989</v>
      </c>
    </row>
    <row r="31" spans="1:19" x14ac:dyDescent="0.25">
      <c r="A31">
        <v>0.23</v>
      </c>
      <c r="B31" s="2">
        <f t="shared" si="0"/>
        <v>1.6517919037537136E-2</v>
      </c>
      <c r="C31" s="2">
        <f t="shared" si="1"/>
        <v>137759444.77305973</v>
      </c>
      <c r="E31">
        <v>0.23</v>
      </c>
      <c r="F31" s="2">
        <f t="shared" si="2"/>
        <v>2.0296277675947718</v>
      </c>
      <c r="G31" s="2">
        <f t="shared" si="3"/>
        <v>16927095581.740396</v>
      </c>
      <c r="I31">
        <v>0.23</v>
      </c>
      <c r="J31" s="2">
        <f t="shared" si="4"/>
        <v>10.090284622973421</v>
      </c>
      <c r="K31" s="2">
        <f t="shared" si="5"/>
        <v>84152973755.598328</v>
      </c>
      <c r="M31">
        <v>0.23</v>
      </c>
      <c r="N31" s="2">
        <f t="shared" si="6"/>
        <v>36.399300152637103</v>
      </c>
      <c r="O31" s="2">
        <f t="shared" si="7"/>
        <v>303570163272.99341</v>
      </c>
      <c r="Q31">
        <v>0.23</v>
      </c>
      <c r="R31" s="2">
        <f t="shared" si="8"/>
        <v>103.98613758763568</v>
      </c>
      <c r="S31" s="2">
        <f t="shared" si="9"/>
        <v>867244387480.88159</v>
      </c>
    </row>
    <row r="32" spans="1:19" x14ac:dyDescent="0.25">
      <c r="A32">
        <v>0.24</v>
      </c>
      <c r="B32" s="2">
        <f t="shared" si="0"/>
        <v>1.6303400608478211E-2</v>
      </c>
      <c r="C32" s="2">
        <f t="shared" si="1"/>
        <v>135970361.07470828</v>
      </c>
      <c r="E32">
        <v>0.24</v>
      </c>
      <c r="F32" s="2">
        <f t="shared" si="2"/>
        <v>2.0032689654182163</v>
      </c>
      <c r="G32" s="2">
        <f t="shared" si="3"/>
        <v>16707263171.587925</v>
      </c>
      <c r="I32">
        <v>0.24</v>
      </c>
      <c r="J32" s="2">
        <f t="shared" si="4"/>
        <v>9.9592419655322075</v>
      </c>
      <c r="K32" s="2">
        <f t="shared" si="5"/>
        <v>83060077992.538605</v>
      </c>
      <c r="M32">
        <v>0.24</v>
      </c>
      <c r="N32" s="2">
        <f t="shared" si="6"/>
        <v>35.926581968836622</v>
      </c>
      <c r="O32" s="2">
        <f t="shared" si="7"/>
        <v>299627693620.09741</v>
      </c>
      <c r="Q32">
        <v>0.24</v>
      </c>
      <c r="R32" s="2">
        <f t="shared" si="8"/>
        <v>102.63566826831573</v>
      </c>
      <c r="S32" s="2">
        <f t="shared" si="9"/>
        <v>855981473357.75305</v>
      </c>
    </row>
    <row r="33" spans="1:19" x14ac:dyDescent="0.25">
      <c r="A33">
        <v>0.25</v>
      </c>
      <c r="B33" s="2">
        <f t="shared" si="0"/>
        <v>1.6088882179419287E-2</v>
      </c>
      <c r="C33" s="2">
        <f t="shared" si="1"/>
        <v>134181277.37635686</v>
      </c>
      <c r="E33">
        <v>0.25</v>
      </c>
      <c r="F33" s="2">
        <f t="shared" si="2"/>
        <v>1.9769101632416608</v>
      </c>
      <c r="G33" s="2">
        <f t="shared" si="3"/>
        <v>16487430761.43545</v>
      </c>
      <c r="I33">
        <v>0.25</v>
      </c>
      <c r="J33" s="2">
        <f t="shared" si="4"/>
        <v>9.8281993080909942</v>
      </c>
      <c r="K33" s="2">
        <f t="shared" si="5"/>
        <v>81967182229.478897</v>
      </c>
      <c r="M33">
        <v>0.25</v>
      </c>
      <c r="N33" s="2">
        <f t="shared" si="6"/>
        <v>35.453863785036134</v>
      </c>
      <c r="O33" s="2">
        <f t="shared" si="7"/>
        <v>295685223967.20135</v>
      </c>
      <c r="Q33">
        <v>0.25</v>
      </c>
      <c r="R33" s="2">
        <f t="shared" si="8"/>
        <v>101.28519894899578</v>
      </c>
      <c r="S33" s="2">
        <f t="shared" si="9"/>
        <v>844718559234.62476</v>
      </c>
    </row>
    <row r="34" spans="1:19" x14ac:dyDescent="0.25">
      <c r="A34">
        <v>0.26</v>
      </c>
      <c r="B34" s="2">
        <f t="shared" si="0"/>
        <v>1.5874363750360363E-2</v>
      </c>
      <c r="C34" s="2">
        <f t="shared" si="1"/>
        <v>132392193.67800543</v>
      </c>
      <c r="E34">
        <v>0.26</v>
      </c>
      <c r="F34" s="2">
        <f t="shared" si="2"/>
        <v>1.9505513610651055</v>
      </c>
      <c r="G34" s="2">
        <f t="shared" si="3"/>
        <v>16267598351.282982</v>
      </c>
      <c r="I34">
        <v>0.26</v>
      </c>
      <c r="J34" s="2">
        <f t="shared" si="4"/>
        <v>9.6971566506497808</v>
      </c>
      <c r="K34" s="2">
        <f t="shared" si="5"/>
        <v>80874286466.419174</v>
      </c>
      <c r="M34">
        <v>0.26</v>
      </c>
      <c r="N34" s="2">
        <f t="shared" si="6"/>
        <v>34.981145601235653</v>
      </c>
      <c r="O34" s="2">
        <f t="shared" si="7"/>
        <v>291742754314.30536</v>
      </c>
      <c r="Q34">
        <v>0.26</v>
      </c>
      <c r="R34" s="2">
        <f t="shared" si="8"/>
        <v>99.934729629675843</v>
      </c>
      <c r="S34" s="2">
        <f t="shared" si="9"/>
        <v>833455645111.49646</v>
      </c>
    </row>
    <row r="35" spans="1:19" x14ac:dyDescent="0.25">
      <c r="A35">
        <v>0.27</v>
      </c>
      <c r="B35" s="2">
        <f t="shared" si="0"/>
        <v>1.5659845321301439E-2</v>
      </c>
      <c r="C35" s="2">
        <f t="shared" si="1"/>
        <v>130603109.97965401</v>
      </c>
      <c r="E35">
        <v>0.27</v>
      </c>
      <c r="F35" s="2">
        <f t="shared" si="2"/>
        <v>1.92419255888855</v>
      </c>
      <c r="G35" s="2">
        <f t="shared" si="3"/>
        <v>16047765941.130507</v>
      </c>
      <c r="I35">
        <v>0.27</v>
      </c>
      <c r="J35" s="2">
        <f t="shared" si="4"/>
        <v>9.5661139932085675</v>
      </c>
      <c r="K35" s="2">
        <f t="shared" si="5"/>
        <v>79781390703.359451</v>
      </c>
      <c r="M35">
        <v>0.27</v>
      </c>
      <c r="N35" s="2">
        <f t="shared" si="6"/>
        <v>34.508427417435172</v>
      </c>
      <c r="O35" s="2">
        <f t="shared" si="7"/>
        <v>287800284661.4093</v>
      </c>
      <c r="Q35">
        <v>0.27</v>
      </c>
      <c r="R35" s="2">
        <f t="shared" si="8"/>
        <v>98.584260310355901</v>
      </c>
      <c r="S35" s="2">
        <f t="shared" si="9"/>
        <v>822192730988.36816</v>
      </c>
    </row>
    <row r="36" spans="1:19" x14ac:dyDescent="0.25">
      <c r="A36">
        <v>0.28000000000000003</v>
      </c>
      <c r="B36" s="2">
        <f t="shared" si="0"/>
        <v>1.5445326892242515E-2</v>
      </c>
      <c r="C36" s="2">
        <f t="shared" si="1"/>
        <v>128814026.28130257</v>
      </c>
      <c r="E36">
        <v>0.28000000000000003</v>
      </c>
      <c r="F36" s="2">
        <f t="shared" si="2"/>
        <v>1.8978337567119945</v>
      </c>
      <c r="G36" s="2">
        <f t="shared" si="3"/>
        <v>15827933530.978035</v>
      </c>
      <c r="I36">
        <v>0.28000000000000003</v>
      </c>
      <c r="J36" s="2">
        <f t="shared" si="4"/>
        <v>9.4350713357673541</v>
      </c>
      <c r="K36" s="2">
        <f t="shared" si="5"/>
        <v>78688494940.299728</v>
      </c>
      <c r="M36">
        <v>0.28000000000000003</v>
      </c>
      <c r="N36" s="2">
        <f t="shared" si="6"/>
        <v>34.035709233634691</v>
      </c>
      <c r="O36" s="2">
        <f t="shared" si="7"/>
        <v>283857815008.51331</v>
      </c>
      <c r="Q36">
        <v>0.28000000000000003</v>
      </c>
      <c r="R36" s="2">
        <f t="shared" si="8"/>
        <v>97.23379099103596</v>
      </c>
      <c r="S36" s="2">
        <f t="shared" si="9"/>
        <v>810929816865.23987</v>
      </c>
    </row>
    <row r="37" spans="1:19" x14ac:dyDescent="0.25">
      <c r="A37">
        <v>0.28999999999999998</v>
      </c>
      <c r="B37" s="2">
        <f t="shared" si="0"/>
        <v>1.5230808463183591E-2</v>
      </c>
      <c r="C37" s="2">
        <f t="shared" si="1"/>
        <v>127024942.58295116</v>
      </c>
      <c r="E37">
        <v>0.28999999999999998</v>
      </c>
      <c r="F37" s="2">
        <f t="shared" si="2"/>
        <v>1.871474954535439</v>
      </c>
      <c r="G37" s="2">
        <f t="shared" si="3"/>
        <v>15608101120.825562</v>
      </c>
      <c r="I37">
        <v>0.28999999999999998</v>
      </c>
      <c r="J37" s="2">
        <f t="shared" si="4"/>
        <v>9.3040286783261408</v>
      </c>
      <c r="K37" s="2">
        <f t="shared" si="5"/>
        <v>77595599177.240021</v>
      </c>
      <c r="M37">
        <v>0.28999999999999998</v>
      </c>
      <c r="N37" s="2">
        <f t="shared" si="6"/>
        <v>33.56299104983421</v>
      </c>
      <c r="O37" s="2">
        <f t="shared" si="7"/>
        <v>279915345355.61731</v>
      </c>
      <c r="Q37">
        <v>0.28999999999999998</v>
      </c>
      <c r="R37" s="2">
        <f t="shared" si="8"/>
        <v>95.883321671716018</v>
      </c>
      <c r="S37" s="2">
        <f t="shared" si="9"/>
        <v>799666902742.11157</v>
      </c>
    </row>
    <row r="38" spans="1:19" x14ac:dyDescent="0.25">
      <c r="A38">
        <v>0.3</v>
      </c>
      <c r="B38" s="2">
        <f t="shared" si="0"/>
        <v>1.5016290034124666E-2</v>
      </c>
      <c r="C38" s="2">
        <f t="shared" si="1"/>
        <v>125235858.88459972</v>
      </c>
      <c r="E38">
        <v>0.3</v>
      </c>
      <c r="F38" s="2">
        <f t="shared" si="2"/>
        <v>1.8451161523588835</v>
      </c>
      <c r="G38" s="2">
        <f t="shared" si="3"/>
        <v>15388268710.67309</v>
      </c>
      <c r="I38">
        <v>0.3</v>
      </c>
      <c r="J38" s="2">
        <f t="shared" si="4"/>
        <v>9.1729860208849274</v>
      </c>
      <c r="K38" s="2">
        <f t="shared" si="5"/>
        <v>76502703414.180283</v>
      </c>
      <c r="M38">
        <v>0.3</v>
      </c>
      <c r="N38" s="2">
        <f t="shared" si="6"/>
        <v>33.090272866033729</v>
      </c>
      <c r="O38" s="2">
        <f t="shared" si="7"/>
        <v>275972875702.72131</v>
      </c>
      <c r="Q38">
        <v>0.3</v>
      </c>
      <c r="R38" s="2">
        <f t="shared" si="8"/>
        <v>94.532852352396063</v>
      </c>
      <c r="S38" s="2">
        <f t="shared" si="9"/>
        <v>788403988618.98315</v>
      </c>
    </row>
    <row r="39" spans="1:19" x14ac:dyDescent="0.25">
      <c r="A39">
        <v>0.31</v>
      </c>
      <c r="B39" s="2">
        <f t="shared" si="0"/>
        <v>1.4801771605065741E-2</v>
      </c>
      <c r="C39" s="2">
        <f t="shared" si="1"/>
        <v>123446775.18624827</v>
      </c>
      <c r="E39">
        <v>0.31</v>
      </c>
      <c r="F39" s="2">
        <f t="shared" si="2"/>
        <v>1.8187573501823278</v>
      </c>
      <c r="G39" s="2">
        <f t="shared" si="3"/>
        <v>15168436300.520615</v>
      </c>
      <c r="I39">
        <v>0.31</v>
      </c>
      <c r="J39" s="2">
        <f t="shared" si="4"/>
        <v>9.0419433634437123</v>
      </c>
      <c r="K39" s="2">
        <f t="shared" si="5"/>
        <v>75409807651.12056</v>
      </c>
      <c r="M39">
        <v>0.31</v>
      </c>
      <c r="N39" s="2">
        <f t="shared" si="6"/>
        <v>32.617554682233241</v>
      </c>
      <c r="O39" s="2">
        <f t="shared" si="7"/>
        <v>272030406049.8252</v>
      </c>
      <c r="Q39">
        <v>0.31</v>
      </c>
      <c r="R39" s="2">
        <f t="shared" si="8"/>
        <v>93.182383033076107</v>
      </c>
      <c r="S39" s="2">
        <f t="shared" si="9"/>
        <v>777141074495.85474</v>
      </c>
    </row>
    <row r="40" spans="1:19" x14ac:dyDescent="0.25">
      <c r="A40">
        <v>0.32</v>
      </c>
      <c r="B40" s="2">
        <f t="shared" si="0"/>
        <v>1.4587253176006818E-2</v>
      </c>
      <c r="C40" s="2">
        <f t="shared" si="1"/>
        <v>121657691.48789686</v>
      </c>
      <c r="E40">
        <v>0.32</v>
      </c>
      <c r="F40" s="2">
        <f t="shared" si="2"/>
        <v>1.7923985480057723</v>
      </c>
      <c r="G40" s="2">
        <f t="shared" si="3"/>
        <v>14948603890.368141</v>
      </c>
      <c r="I40">
        <v>0.32</v>
      </c>
      <c r="J40" s="2">
        <f t="shared" si="4"/>
        <v>8.9109007060025007</v>
      </c>
      <c r="K40" s="2">
        <f t="shared" si="5"/>
        <v>74316911888.060852</v>
      </c>
      <c r="M40">
        <v>0.32</v>
      </c>
      <c r="N40" s="2">
        <f t="shared" si="6"/>
        <v>32.14483649843276</v>
      </c>
      <c r="O40" s="2">
        <f t="shared" si="7"/>
        <v>268087936396.92923</v>
      </c>
      <c r="Q40">
        <v>0.32</v>
      </c>
      <c r="R40" s="2">
        <f t="shared" si="8"/>
        <v>91.831913713756165</v>
      </c>
      <c r="S40" s="2">
        <f t="shared" si="9"/>
        <v>765878160372.72644</v>
      </c>
    </row>
    <row r="41" spans="1:19" x14ac:dyDescent="0.25">
      <c r="A41">
        <v>0.33</v>
      </c>
      <c r="B41" s="2">
        <f t="shared" si="0"/>
        <v>1.4372734746947894E-2</v>
      </c>
      <c r="C41" s="2">
        <f t="shared" si="1"/>
        <v>119868607.78954545</v>
      </c>
      <c r="E41">
        <v>0.33</v>
      </c>
      <c r="F41" s="2">
        <f t="shared" si="2"/>
        <v>1.7660397458292167</v>
      </c>
      <c r="G41" s="2">
        <f t="shared" si="3"/>
        <v>14728771480.215668</v>
      </c>
      <c r="I41">
        <v>0.33</v>
      </c>
      <c r="J41" s="2">
        <f t="shared" si="4"/>
        <v>8.7798580485612874</v>
      </c>
      <c r="K41" s="2">
        <f t="shared" si="5"/>
        <v>73224016125.001144</v>
      </c>
      <c r="M41">
        <v>0.33</v>
      </c>
      <c r="N41" s="2">
        <f t="shared" si="6"/>
        <v>31.672118314632279</v>
      </c>
      <c r="O41" s="2">
        <f t="shared" si="7"/>
        <v>264145466744.0332</v>
      </c>
      <c r="Q41">
        <v>0.33</v>
      </c>
      <c r="R41" s="2">
        <f t="shared" si="8"/>
        <v>90.481444394436224</v>
      </c>
      <c r="S41" s="2">
        <f t="shared" si="9"/>
        <v>754615246249.59814</v>
      </c>
    </row>
    <row r="42" spans="1:19" x14ac:dyDescent="0.25">
      <c r="A42">
        <v>0.34</v>
      </c>
      <c r="B42" s="2">
        <f t="shared" si="0"/>
        <v>1.415821631788897E-2</v>
      </c>
      <c r="C42" s="2">
        <f t="shared" si="1"/>
        <v>118079524.091194</v>
      </c>
      <c r="E42">
        <v>0.34</v>
      </c>
      <c r="F42" s="2">
        <f t="shared" si="2"/>
        <v>1.7396809436526612</v>
      </c>
      <c r="G42" s="2">
        <f t="shared" si="3"/>
        <v>14508939070.063194</v>
      </c>
      <c r="I42">
        <v>0.34</v>
      </c>
      <c r="J42" s="2">
        <f t="shared" si="4"/>
        <v>8.648815391120074</v>
      </c>
      <c r="K42" s="2">
        <f t="shared" si="5"/>
        <v>72131120361.941406</v>
      </c>
      <c r="M42">
        <v>0.34</v>
      </c>
      <c r="N42" s="2">
        <f t="shared" si="6"/>
        <v>31.199400130831798</v>
      </c>
      <c r="O42" s="2">
        <f t="shared" si="7"/>
        <v>260202997091.13721</v>
      </c>
      <c r="Q42">
        <v>0.34</v>
      </c>
      <c r="R42" s="2">
        <f t="shared" si="8"/>
        <v>89.130975075116282</v>
      </c>
      <c r="S42" s="2">
        <f t="shared" si="9"/>
        <v>743352332126.46985</v>
      </c>
    </row>
    <row r="43" spans="1:19" x14ac:dyDescent="0.25">
      <c r="A43">
        <v>0.35</v>
      </c>
      <c r="B43" s="2">
        <f t="shared" si="0"/>
        <v>1.3943697888830047E-2</v>
      </c>
      <c r="C43" s="2">
        <f t="shared" si="1"/>
        <v>116290440.39284259</v>
      </c>
      <c r="E43">
        <v>0.35</v>
      </c>
      <c r="F43" s="2">
        <f t="shared" si="2"/>
        <v>1.7133221414761062</v>
      </c>
      <c r="G43" s="2">
        <f t="shared" si="3"/>
        <v>14289106659.910725</v>
      </c>
      <c r="I43">
        <v>0.35</v>
      </c>
      <c r="J43" s="2">
        <f t="shared" si="4"/>
        <v>8.5177727336788607</v>
      </c>
      <c r="K43" s="2">
        <f t="shared" si="5"/>
        <v>71038224598.881699</v>
      </c>
      <c r="M43">
        <v>0.35</v>
      </c>
      <c r="N43" s="2">
        <f t="shared" si="6"/>
        <v>30.72668194703132</v>
      </c>
      <c r="O43" s="2">
        <f t="shared" si="7"/>
        <v>256260527438.24124</v>
      </c>
      <c r="Q43">
        <v>0.35</v>
      </c>
      <c r="R43" s="2">
        <f t="shared" si="8"/>
        <v>87.780505755796355</v>
      </c>
      <c r="S43" s="2">
        <f t="shared" si="9"/>
        <v>732089418003.34155</v>
      </c>
    </row>
    <row r="44" spans="1:19" x14ac:dyDescent="0.25">
      <c r="A44">
        <v>0.36</v>
      </c>
      <c r="B44" s="2">
        <f t="shared" si="0"/>
        <v>1.3729179459771125E-2</v>
      </c>
      <c r="C44" s="2">
        <f t="shared" si="1"/>
        <v>114501356.69449118</v>
      </c>
      <c r="E44">
        <v>0.36</v>
      </c>
      <c r="F44" s="2">
        <f t="shared" si="2"/>
        <v>1.6869633392995507</v>
      </c>
      <c r="G44" s="2">
        <f t="shared" si="3"/>
        <v>14069274249.758253</v>
      </c>
      <c r="I44">
        <v>0.36</v>
      </c>
      <c r="J44" s="2">
        <f t="shared" si="4"/>
        <v>8.3867300762376473</v>
      </c>
      <c r="K44" s="2">
        <f t="shared" si="5"/>
        <v>69945328835.821976</v>
      </c>
      <c r="M44">
        <v>0.36</v>
      </c>
      <c r="N44" s="2">
        <f t="shared" si="6"/>
        <v>30.253963763230836</v>
      </c>
      <c r="O44" s="2">
        <f t="shared" si="7"/>
        <v>252318057785.34515</v>
      </c>
      <c r="Q44">
        <v>0.36</v>
      </c>
      <c r="R44" s="2">
        <f t="shared" si="8"/>
        <v>86.430036436476399</v>
      </c>
      <c r="S44" s="2">
        <f t="shared" si="9"/>
        <v>720826503880.21326</v>
      </c>
    </row>
    <row r="45" spans="1:19" x14ac:dyDescent="0.25">
      <c r="A45">
        <v>0.37</v>
      </c>
      <c r="B45" s="2">
        <f t="shared" si="0"/>
        <v>1.3514661030712201E-2</v>
      </c>
      <c r="C45" s="2">
        <f t="shared" si="1"/>
        <v>112712272.99613975</v>
      </c>
      <c r="E45">
        <v>0.37</v>
      </c>
      <c r="F45" s="2">
        <f t="shared" si="2"/>
        <v>1.6606045371229952</v>
      </c>
      <c r="G45" s="2">
        <f t="shared" si="3"/>
        <v>13849441839.60578</v>
      </c>
      <c r="I45">
        <v>0.37</v>
      </c>
      <c r="J45" s="2">
        <f t="shared" si="4"/>
        <v>8.2556874187964358</v>
      </c>
      <c r="K45" s="2">
        <f t="shared" si="5"/>
        <v>68852433072.762268</v>
      </c>
      <c r="M45">
        <v>0.37</v>
      </c>
      <c r="N45" s="2">
        <f t="shared" si="6"/>
        <v>29.781245579430355</v>
      </c>
      <c r="O45" s="2">
        <f t="shared" si="7"/>
        <v>248375588132.44916</v>
      </c>
      <c r="Q45">
        <v>0.37</v>
      </c>
      <c r="R45" s="2">
        <f t="shared" si="8"/>
        <v>85.079567117156458</v>
      </c>
      <c r="S45" s="2">
        <f t="shared" si="9"/>
        <v>709563589757.08484</v>
      </c>
    </row>
    <row r="46" spans="1:19" x14ac:dyDescent="0.25">
      <c r="A46">
        <v>0.38</v>
      </c>
      <c r="B46" s="2">
        <f t="shared" si="0"/>
        <v>1.3300142601653277E-2</v>
      </c>
      <c r="C46" s="2">
        <f t="shared" si="1"/>
        <v>110923189.29778832</v>
      </c>
      <c r="E46">
        <v>0.38</v>
      </c>
      <c r="F46" s="2">
        <f t="shared" si="2"/>
        <v>1.6342457349464397</v>
      </c>
      <c r="G46" s="2">
        <f t="shared" si="3"/>
        <v>13629609429.453308</v>
      </c>
      <c r="I46">
        <v>0.38</v>
      </c>
      <c r="J46" s="2">
        <f t="shared" si="4"/>
        <v>8.1246447613552224</v>
      </c>
      <c r="K46" s="2">
        <f t="shared" si="5"/>
        <v>67759537309.702553</v>
      </c>
      <c r="M46">
        <v>0.38</v>
      </c>
      <c r="N46" s="2">
        <f t="shared" si="6"/>
        <v>29.308527395629874</v>
      </c>
      <c r="O46" s="2">
        <f t="shared" si="7"/>
        <v>244433118479.55313</v>
      </c>
      <c r="Q46">
        <v>0.38</v>
      </c>
      <c r="R46" s="2">
        <f t="shared" si="8"/>
        <v>83.729097797836516</v>
      </c>
      <c r="S46" s="2">
        <f t="shared" si="9"/>
        <v>698300675633.95654</v>
      </c>
    </row>
    <row r="47" spans="1:19" x14ac:dyDescent="0.25">
      <c r="A47">
        <v>0.39</v>
      </c>
      <c r="B47" s="2">
        <f t="shared" si="0"/>
        <v>1.3085624172594353E-2</v>
      </c>
      <c r="C47" s="2">
        <f t="shared" si="1"/>
        <v>109134105.59943691</v>
      </c>
      <c r="E47">
        <v>0.39</v>
      </c>
      <c r="F47" s="2">
        <f t="shared" si="2"/>
        <v>1.6078869327698841</v>
      </c>
      <c r="G47" s="2">
        <f t="shared" si="3"/>
        <v>13409777019.300833</v>
      </c>
      <c r="I47">
        <v>0.39</v>
      </c>
      <c r="J47" s="2">
        <f t="shared" si="4"/>
        <v>7.9936021039140082</v>
      </c>
      <c r="K47" s="2">
        <f t="shared" si="5"/>
        <v>66666641546.64283</v>
      </c>
      <c r="M47">
        <v>0.39</v>
      </c>
      <c r="N47" s="2">
        <f t="shared" si="6"/>
        <v>28.835809211829392</v>
      </c>
      <c r="O47" s="2">
        <f t="shared" si="7"/>
        <v>240490648826.6571</v>
      </c>
      <c r="Q47">
        <v>0.39</v>
      </c>
      <c r="R47" s="2">
        <f t="shared" si="8"/>
        <v>82.378628478516575</v>
      </c>
      <c r="S47" s="2">
        <f t="shared" si="9"/>
        <v>687037761510.82825</v>
      </c>
    </row>
    <row r="48" spans="1:19" x14ac:dyDescent="0.25">
      <c r="A48">
        <v>0.4</v>
      </c>
      <c r="B48" s="2">
        <f t="shared" si="0"/>
        <v>1.2871105743535428E-2</v>
      </c>
      <c r="C48" s="2">
        <f t="shared" si="1"/>
        <v>107345021.90108547</v>
      </c>
      <c r="E48">
        <v>0.4</v>
      </c>
      <c r="F48" s="2">
        <f t="shared" si="2"/>
        <v>1.5815281305933286</v>
      </c>
      <c r="G48" s="2">
        <f t="shared" si="3"/>
        <v>13189944609.148361</v>
      </c>
      <c r="I48">
        <v>0.4</v>
      </c>
      <c r="J48" s="2">
        <f t="shared" si="4"/>
        <v>7.8625594464727948</v>
      </c>
      <c r="K48" s="2">
        <f t="shared" si="5"/>
        <v>65573745783.583115</v>
      </c>
      <c r="M48">
        <v>0.4</v>
      </c>
      <c r="N48" s="2">
        <f t="shared" si="6"/>
        <v>28.363091028028908</v>
      </c>
      <c r="O48" s="2">
        <f t="shared" si="7"/>
        <v>236548179173.76111</v>
      </c>
      <c r="Q48">
        <v>0.4</v>
      </c>
      <c r="R48" s="2">
        <f t="shared" si="8"/>
        <v>81.028159159196633</v>
      </c>
      <c r="S48" s="2">
        <f t="shared" si="9"/>
        <v>675774847387.69995</v>
      </c>
    </row>
    <row r="49" spans="1:19" x14ac:dyDescent="0.25">
      <c r="A49">
        <v>0.41</v>
      </c>
      <c r="B49" s="2">
        <f t="shared" si="0"/>
        <v>1.2656587314476508E-2</v>
      </c>
      <c r="C49" s="2">
        <f t="shared" si="1"/>
        <v>105555938.20273407</v>
      </c>
      <c r="E49">
        <v>0.41</v>
      </c>
      <c r="F49" s="2">
        <f t="shared" si="2"/>
        <v>1.5551693284167736</v>
      </c>
      <c r="G49" s="2">
        <f t="shared" si="3"/>
        <v>12970112198.995893</v>
      </c>
      <c r="I49">
        <v>0.41</v>
      </c>
      <c r="J49" s="2">
        <f t="shared" si="4"/>
        <v>7.7315167890315832</v>
      </c>
      <c r="K49" s="2">
        <f t="shared" si="5"/>
        <v>64480850020.523407</v>
      </c>
      <c r="M49">
        <v>0.41</v>
      </c>
      <c r="N49" s="2">
        <f t="shared" si="6"/>
        <v>27.89037284422843</v>
      </c>
      <c r="O49" s="2">
        <f t="shared" si="7"/>
        <v>232605709520.86511</v>
      </c>
      <c r="Q49">
        <v>0.41</v>
      </c>
      <c r="R49" s="2">
        <f t="shared" si="8"/>
        <v>79.677689839876706</v>
      </c>
      <c r="S49" s="2">
        <f t="shared" si="9"/>
        <v>664511933264.57178</v>
      </c>
    </row>
    <row r="50" spans="1:19" x14ac:dyDescent="0.25">
      <c r="A50">
        <v>0.42</v>
      </c>
      <c r="B50" s="2">
        <f t="shared" si="0"/>
        <v>1.2442068885417584E-2</v>
      </c>
      <c r="C50" s="2">
        <f t="shared" si="1"/>
        <v>103766854.50438266</v>
      </c>
      <c r="E50">
        <v>0.42</v>
      </c>
      <c r="F50" s="2">
        <f t="shared" si="2"/>
        <v>1.5288105262402181</v>
      </c>
      <c r="G50" s="2">
        <f t="shared" si="3"/>
        <v>12750279788.843418</v>
      </c>
      <c r="I50">
        <v>0.42</v>
      </c>
      <c r="J50" s="2">
        <f t="shared" si="4"/>
        <v>7.6004741315903699</v>
      </c>
      <c r="K50" s="2">
        <f t="shared" si="5"/>
        <v>63387954257.463692</v>
      </c>
      <c r="M50">
        <v>0.42</v>
      </c>
      <c r="N50" s="2">
        <f t="shared" si="6"/>
        <v>27.417654660427949</v>
      </c>
      <c r="O50" s="2">
        <f t="shared" si="7"/>
        <v>228663239867.96912</v>
      </c>
      <c r="Q50">
        <v>0.42</v>
      </c>
      <c r="R50" s="2">
        <f t="shared" si="8"/>
        <v>78.32722052055675</v>
      </c>
      <c r="S50" s="2">
        <f t="shared" si="9"/>
        <v>653249019141.44324</v>
      </c>
    </row>
    <row r="51" spans="1:19" x14ac:dyDescent="0.25">
      <c r="A51">
        <v>0.43</v>
      </c>
      <c r="B51" s="2">
        <f t="shared" si="0"/>
        <v>1.2227550456358659E-2</v>
      </c>
      <c r="C51" s="2">
        <f t="shared" si="1"/>
        <v>101977770.80603121</v>
      </c>
      <c r="E51">
        <v>0.43</v>
      </c>
      <c r="F51" s="2">
        <f t="shared" si="2"/>
        <v>1.5024517240636626</v>
      </c>
      <c r="G51" s="2">
        <f t="shared" si="3"/>
        <v>12530447378.690945</v>
      </c>
      <c r="I51">
        <v>0.43</v>
      </c>
      <c r="J51" s="2">
        <f t="shared" si="4"/>
        <v>7.4694314741491565</v>
      </c>
      <c r="K51" s="2">
        <f t="shared" si="5"/>
        <v>62295058494.403961</v>
      </c>
      <c r="M51">
        <v>0.43</v>
      </c>
      <c r="N51" s="2">
        <f t="shared" si="6"/>
        <v>26.944936476627468</v>
      </c>
      <c r="O51" s="2">
        <f t="shared" si="7"/>
        <v>224720770215.07309</v>
      </c>
      <c r="Q51">
        <v>0.43</v>
      </c>
      <c r="R51" s="2">
        <f t="shared" si="8"/>
        <v>76.976751201236809</v>
      </c>
      <c r="S51" s="2">
        <f t="shared" si="9"/>
        <v>641986105018.31494</v>
      </c>
    </row>
    <row r="52" spans="1:19" x14ac:dyDescent="0.25">
      <c r="A52">
        <v>0.44</v>
      </c>
      <c r="B52" s="2">
        <f t="shared" si="0"/>
        <v>1.2013032027299735E-2</v>
      </c>
      <c r="C52" s="2">
        <f t="shared" si="1"/>
        <v>100188687.1076798</v>
      </c>
      <c r="E52">
        <v>0.44</v>
      </c>
      <c r="F52" s="2">
        <f t="shared" si="2"/>
        <v>1.4760929218871071</v>
      </c>
      <c r="G52" s="2">
        <f t="shared" si="3"/>
        <v>12310614968.538473</v>
      </c>
      <c r="I52">
        <v>0.44</v>
      </c>
      <c r="J52" s="2">
        <f t="shared" si="4"/>
        <v>7.3383888167079432</v>
      </c>
      <c r="K52" s="2">
        <f t="shared" si="5"/>
        <v>61202162731.344246</v>
      </c>
      <c r="M52">
        <v>0.44</v>
      </c>
      <c r="N52" s="2">
        <f t="shared" si="6"/>
        <v>26.472218292826987</v>
      </c>
      <c r="O52" s="2">
        <f t="shared" si="7"/>
        <v>220778300562.17706</v>
      </c>
      <c r="Q52">
        <v>0.44</v>
      </c>
      <c r="R52" s="2">
        <f t="shared" si="8"/>
        <v>75.626281881916867</v>
      </c>
      <c r="S52" s="2">
        <f t="shared" si="9"/>
        <v>630723190895.18665</v>
      </c>
    </row>
    <row r="53" spans="1:19" x14ac:dyDescent="0.25">
      <c r="A53">
        <v>0.45</v>
      </c>
      <c r="B53" s="2">
        <f t="shared" si="0"/>
        <v>1.1798513598240809E-2</v>
      </c>
      <c r="C53" s="2">
        <f t="shared" si="1"/>
        <v>98399603.409328356</v>
      </c>
      <c r="E53">
        <v>0.45</v>
      </c>
      <c r="F53" s="2">
        <f t="shared" si="2"/>
        <v>1.4497341197105513</v>
      </c>
      <c r="G53" s="2">
        <f t="shared" si="3"/>
        <v>12090782558.385998</v>
      </c>
      <c r="I53">
        <v>0.45</v>
      </c>
      <c r="J53" s="2">
        <f t="shared" si="4"/>
        <v>7.2073461592667289</v>
      </c>
      <c r="K53" s="2">
        <f t="shared" si="5"/>
        <v>60109266968.284515</v>
      </c>
      <c r="M53">
        <v>0.45</v>
      </c>
      <c r="N53" s="2">
        <f t="shared" si="6"/>
        <v>25.999500109026499</v>
      </c>
      <c r="O53" s="2">
        <f t="shared" si="7"/>
        <v>216835830909.28101</v>
      </c>
      <c r="Q53">
        <v>0.45</v>
      </c>
      <c r="R53" s="2">
        <f t="shared" si="8"/>
        <v>74.275812562596911</v>
      </c>
      <c r="S53" s="2">
        <f t="shared" si="9"/>
        <v>619460276772.05823</v>
      </c>
    </row>
    <row r="54" spans="1:19" x14ac:dyDescent="0.25">
      <c r="A54">
        <v>0.46</v>
      </c>
      <c r="B54" s="2">
        <f t="shared" si="0"/>
        <v>1.1583995169181887E-2</v>
      </c>
      <c r="C54" s="2">
        <f t="shared" si="1"/>
        <v>96610519.710976928</v>
      </c>
      <c r="E54">
        <v>0.46</v>
      </c>
      <c r="F54" s="2">
        <f t="shared" si="2"/>
        <v>1.4233753175339958</v>
      </c>
      <c r="G54" s="2">
        <f t="shared" si="3"/>
        <v>11870950148.233524</v>
      </c>
      <c r="I54">
        <v>0.46</v>
      </c>
      <c r="J54" s="2">
        <f t="shared" si="4"/>
        <v>7.0763035018255156</v>
      </c>
      <c r="K54" s="2">
        <f t="shared" si="5"/>
        <v>59016371205.2248</v>
      </c>
      <c r="M54">
        <v>0.46</v>
      </c>
      <c r="N54" s="2">
        <f t="shared" si="6"/>
        <v>25.526781925226018</v>
      </c>
      <c r="O54" s="2">
        <f t="shared" si="7"/>
        <v>212893361256.38501</v>
      </c>
      <c r="Q54">
        <v>0.46</v>
      </c>
      <c r="R54" s="2">
        <f t="shared" si="8"/>
        <v>72.92534324327697</v>
      </c>
      <c r="S54" s="2">
        <f t="shared" si="9"/>
        <v>608197362648.92993</v>
      </c>
    </row>
    <row r="55" spans="1:19" x14ac:dyDescent="0.25">
      <c r="A55">
        <v>0.47</v>
      </c>
      <c r="B55" s="2">
        <f t="shared" si="0"/>
        <v>1.1369476740122963E-2</v>
      </c>
      <c r="C55" s="2">
        <f t="shared" si="1"/>
        <v>94821436.012625501</v>
      </c>
      <c r="E55">
        <v>0.47</v>
      </c>
      <c r="F55" s="2">
        <f t="shared" si="2"/>
        <v>1.3970165153574403</v>
      </c>
      <c r="G55" s="2">
        <f t="shared" si="3"/>
        <v>11651117738.081053</v>
      </c>
      <c r="I55">
        <v>0.47</v>
      </c>
      <c r="J55" s="2">
        <f t="shared" si="4"/>
        <v>6.9452608443843022</v>
      </c>
      <c r="K55" s="2">
        <f t="shared" si="5"/>
        <v>57923475442.165085</v>
      </c>
      <c r="M55">
        <v>0.47</v>
      </c>
      <c r="N55" s="2">
        <f t="shared" si="6"/>
        <v>25.054063741425537</v>
      </c>
      <c r="O55" s="2">
        <f t="shared" si="7"/>
        <v>208950891603.48898</v>
      </c>
      <c r="Q55">
        <v>0.47</v>
      </c>
      <c r="R55" s="2">
        <f t="shared" si="8"/>
        <v>71.574873923957028</v>
      </c>
      <c r="S55" s="2">
        <f t="shared" si="9"/>
        <v>596934448525.80164</v>
      </c>
    </row>
    <row r="56" spans="1:19" x14ac:dyDescent="0.25">
      <c r="A56">
        <v>0.48</v>
      </c>
      <c r="B56" s="2">
        <f t="shared" si="0"/>
        <v>1.1154958311064039E-2</v>
      </c>
      <c r="C56" s="2">
        <f t="shared" si="1"/>
        <v>93032352.314274073</v>
      </c>
      <c r="E56">
        <v>0.48</v>
      </c>
      <c r="F56" s="2">
        <f t="shared" si="2"/>
        <v>1.3706577131808848</v>
      </c>
      <c r="G56" s="2">
        <f t="shared" si="3"/>
        <v>11431285327.928579</v>
      </c>
      <c r="I56">
        <v>0.48</v>
      </c>
      <c r="J56" s="2">
        <f t="shared" si="4"/>
        <v>6.8142181869430889</v>
      </c>
      <c r="K56" s="2">
        <f t="shared" si="5"/>
        <v>56830579679.105354</v>
      </c>
      <c r="M56">
        <v>0.48</v>
      </c>
      <c r="N56" s="2">
        <f t="shared" si="6"/>
        <v>24.581345557625056</v>
      </c>
      <c r="O56" s="2">
        <f t="shared" si="7"/>
        <v>205008421950.59296</v>
      </c>
      <c r="Q56">
        <v>0.48</v>
      </c>
      <c r="R56" s="2">
        <f t="shared" si="8"/>
        <v>70.224404604637073</v>
      </c>
      <c r="S56" s="2">
        <f t="shared" si="9"/>
        <v>585671534402.67322</v>
      </c>
    </row>
    <row r="57" spans="1:19" x14ac:dyDescent="0.25">
      <c r="A57">
        <v>0.49</v>
      </c>
      <c r="B57" s="2">
        <f t="shared" si="0"/>
        <v>1.0940439882005114E-2</v>
      </c>
      <c r="C57" s="2">
        <f t="shared" si="1"/>
        <v>91243268.615922645</v>
      </c>
      <c r="E57">
        <v>0.49</v>
      </c>
      <c r="F57" s="2">
        <f t="shared" si="2"/>
        <v>1.3442989110043293</v>
      </c>
      <c r="G57" s="2">
        <f t="shared" si="3"/>
        <v>11211452917.776106</v>
      </c>
      <c r="I57">
        <v>0.49</v>
      </c>
      <c r="J57" s="2">
        <f t="shared" si="4"/>
        <v>6.6831755295018755</v>
      </c>
      <c r="K57" s="2">
        <f t="shared" si="5"/>
        <v>55737683916.045639</v>
      </c>
      <c r="M57">
        <v>0.49</v>
      </c>
      <c r="N57" s="2">
        <f t="shared" si="6"/>
        <v>24.108627373824572</v>
      </c>
      <c r="O57" s="2">
        <f t="shared" si="7"/>
        <v>201065952297.69693</v>
      </c>
      <c r="Q57">
        <v>0.49</v>
      </c>
      <c r="R57" s="2">
        <f t="shared" si="8"/>
        <v>68.873935285317131</v>
      </c>
      <c r="S57" s="2">
        <f t="shared" si="9"/>
        <v>574408620279.5448</v>
      </c>
    </row>
    <row r="58" spans="1:19" x14ac:dyDescent="0.25">
      <c r="A58">
        <v>0.5</v>
      </c>
      <c r="B58" s="2">
        <f t="shared" si="0"/>
        <v>1.072592145294619E-2</v>
      </c>
      <c r="C58" s="2">
        <f t="shared" si="1"/>
        <v>89454184.917571217</v>
      </c>
      <c r="E58">
        <v>0.5</v>
      </c>
      <c r="F58" s="2">
        <f t="shared" si="2"/>
        <v>1.317940108827774</v>
      </c>
      <c r="G58" s="2">
        <f t="shared" si="3"/>
        <v>10991620507.623636</v>
      </c>
      <c r="I58">
        <v>0.5</v>
      </c>
      <c r="J58" s="2">
        <f t="shared" si="4"/>
        <v>6.5521328720606622</v>
      </c>
      <c r="K58" s="2">
        <f t="shared" si="5"/>
        <v>54644788152.985924</v>
      </c>
      <c r="M58">
        <v>0.5</v>
      </c>
      <c r="N58" s="2">
        <f t="shared" si="6"/>
        <v>23.635909190024091</v>
      </c>
      <c r="O58" s="2">
        <f t="shared" si="7"/>
        <v>197123482644.8009</v>
      </c>
      <c r="Q58">
        <v>0.5</v>
      </c>
      <c r="R58" s="2">
        <f t="shared" si="8"/>
        <v>67.52346596599719</v>
      </c>
      <c r="S58" s="2">
        <f t="shared" si="9"/>
        <v>563145706156.4165</v>
      </c>
    </row>
    <row r="59" spans="1:19" x14ac:dyDescent="0.25">
      <c r="A59">
        <v>0.51</v>
      </c>
      <c r="B59" s="2">
        <f t="shared" si="0"/>
        <v>1.0511403023887268E-2</v>
      </c>
      <c r="C59" s="2">
        <f t="shared" si="1"/>
        <v>87665101.219219819</v>
      </c>
      <c r="E59">
        <v>0.51</v>
      </c>
      <c r="F59" s="2">
        <f t="shared" si="2"/>
        <v>1.2915813066512185</v>
      </c>
      <c r="G59" s="2">
        <f t="shared" si="3"/>
        <v>10771788097.471163</v>
      </c>
      <c r="I59">
        <v>0.51</v>
      </c>
      <c r="J59" s="2">
        <f t="shared" si="4"/>
        <v>6.4210902146194497</v>
      </c>
      <c r="K59" s="2">
        <f t="shared" si="5"/>
        <v>53551892389.926208</v>
      </c>
      <c r="M59">
        <v>0.51</v>
      </c>
      <c r="N59" s="2">
        <f t="shared" si="6"/>
        <v>23.163191006223609</v>
      </c>
      <c r="O59" s="2">
        <f t="shared" si="7"/>
        <v>193181012991.90491</v>
      </c>
      <c r="Q59">
        <v>0.51</v>
      </c>
      <c r="R59" s="2">
        <f t="shared" si="8"/>
        <v>66.172996646677248</v>
      </c>
      <c r="S59" s="2">
        <f t="shared" si="9"/>
        <v>551882792033.28821</v>
      </c>
    </row>
    <row r="60" spans="1:19" x14ac:dyDescent="0.25">
      <c r="A60">
        <v>0.52</v>
      </c>
      <c r="B60" s="2">
        <f t="shared" si="0"/>
        <v>1.0296884594828344E-2</v>
      </c>
      <c r="C60" s="2">
        <f t="shared" si="1"/>
        <v>85876017.520868391</v>
      </c>
      <c r="E60">
        <v>0.52</v>
      </c>
      <c r="F60" s="2">
        <f t="shared" si="2"/>
        <v>1.265222504474663</v>
      </c>
      <c r="G60" s="2">
        <f t="shared" si="3"/>
        <v>10551955687.318689</v>
      </c>
      <c r="I60">
        <v>0.52</v>
      </c>
      <c r="J60" s="2">
        <f t="shared" si="4"/>
        <v>6.2900475571782364</v>
      </c>
      <c r="K60" s="2">
        <f t="shared" si="5"/>
        <v>52458996626.866493</v>
      </c>
      <c r="M60">
        <v>0.52</v>
      </c>
      <c r="N60" s="2">
        <f t="shared" si="6"/>
        <v>22.690472822423128</v>
      </c>
      <c r="O60" s="2">
        <f t="shared" si="7"/>
        <v>189238543339.00891</v>
      </c>
      <c r="Q60">
        <v>0.52</v>
      </c>
      <c r="R60" s="2">
        <f t="shared" si="8"/>
        <v>64.822527327357307</v>
      </c>
      <c r="S60" s="2">
        <f t="shared" si="9"/>
        <v>540619877910.15997</v>
      </c>
    </row>
    <row r="61" spans="1:19" x14ac:dyDescent="0.25">
      <c r="A61">
        <v>0.53</v>
      </c>
      <c r="B61" s="2">
        <f t="shared" si="0"/>
        <v>1.008236616576942E-2</v>
      </c>
      <c r="C61" s="2">
        <f t="shared" si="1"/>
        <v>84086933.822516963</v>
      </c>
      <c r="E61">
        <v>0.53</v>
      </c>
      <c r="F61" s="2">
        <f t="shared" si="2"/>
        <v>1.2388637022981075</v>
      </c>
      <c r="G61" s="2">
        <f t="shared" si="3"/>
        <v>10332123277.166216</v>
      </c>
      <c r="I61">
        <v>0.53</v>
      </c>
      <c r="J61" s="2">
        <f t="shared" si="4"/>
        <v>6.159004899737023</v>
      </c>
      <c r="K61" s="2">
        <f t="shared" si="5"/>
        <v>51366100863.80677</v>
      </c>
      <c r="M61">
        <v>0.53</v>
      </c>
      <c r="N61" s="2">
        <f t="shared" si="6"/>
        <v>22.217754638622647</v>
      </c>
      <c r="O61" s="2">
        <f t="shared" si="7"/>
        <v>185296073686.11288</v>
      </c>
      <c r="Q61">
        <v>0.53</v>
      </c>
      <c r="R61" s="2">
        <f t="shared" si="8"/>
        <v>63.472058008037358</v>
      </c>
      <c r="S61" s="2">
        <f t="shared" si="9"/>
        <v>529356963787.03156</v>
      </c>
    </row>
    <row r="62" spans="1:19" x14ac:dyDescent="0.25">
      <c r="A62">
        <v>0.54</v>
      </c>
      <c r="B62" s="2">
        <f t="shared" si="0"/>
        <v>9.8678477367104955E-3</v>
      </c>
      <c r="C62" s="2">
        <f t="shared" si="1"/>
        <v>82297850.124165535</v>
      </c>
      <c r="E62">
        <v>0.54</v>
      </c>
      <c r="F62" s="2">
        <f t="shared" si="2"/>
        <v>1.212504900121552</v>
      </c>
      <c r="G62" s="2">
        <f t="shared" si="3"/>
        <v>10112290867.013744</v>
      </c>
      <c r="I62">
        <v>0.54</v>
      </c>
      <c r="J62" s="2">
        <f t="shared" si="4"/>
        <v>6.0279622422958097</v>
      </c>
      <c r="K62" s="2">
        <f t="shared" si="5"/>
        <v>50273205100.747047</v>
      </c>
      <c r="M62">
        <v>0.54</v>
      </c>
      <c r="N62" s="2">
        <f t="shared" si="6"/>
        <v>21.745036454822163</v>
      </c>
      <c r="O62" s="2">
        <f t="shared" si="7"/>
        <v>181353604033.21683</v>
      </c>
      <c r="Q62">
        <v>0.54</v>
      </c>
      <c r="R62" s="2">
        <f t="shared" si="8"/>
        <v>62.121588688717416</v>
      </c>
      <c r="S62" s="2">
        <f t="shared" si="9"/>
        <v>518094049663.90326</v>
      </c>
    </row>
    <row r="63" spans="1:19" x14ac:dyDescent="0.25">
      <c r="A63">
        <v>0.55000000000000004</v>
      </c>
      <c r="B63" s="2">
        <f t="shared" si="0"/>
        <v>9.6533293076515713E-3</v>
      </c>
      <c r="C63" s="2">
        <f t="shared" si="1"/>
        <v>80508766.425814107</v>
      </c>
      <c r="E63">
        <v>0.55000000000000004</v>
      </c>
      <c r="F63" s="2">
        <f t="shared" si="2"/>
        <v>1.1861460979449965</v>
      </c>
      <c r="G63" s="2">
        <f t="shared" si="3"/>
        <v>9892458456.8612709</v>
      </c>
      <c r="I63">
        <v>0.55000000000000004</v>
      </c>
      <c r="J63" s="2">
        <f t="shared" si="4"/>
        <v>5.8969195848545963</v>
      </c>
      <c r="K63" s="2">
        <f t="shared" si="5"/>
        <v>49180309337.687332</v>
      </c>
      <c r="M63">
        <v>0.55000000000000004</v>
      </c>
      <c r="N63" s="2">
        <f t="shared" si="6"/>
        <v>21.272318271021682</v>
      </c>
      <c r="O63" s="2">
        <f t="shared" si="7"/>
        <v>177411134380.32083</v>
      </c>
      <c r="Q63">
        <v>0.55000000000000004</v>
      </c>
      <c r="R63" s="2">
        <f t="shared" si="8"/>
        <v>60.771119369397475</v>
      </c>
      <c r="S63" s="2">
        <f t="shared" si="9"/>
        <v>506831135540.77496</v>
      </c>
    </row>
    <row r="64" spans="1:19" x14ac:dyDescent="0.25">
      <c r="A64">
        <v>0.56000000000000005</v>
      </c>
      <c r="B64" s="2">
        <f t="shared" si="0"/>
        <v>9.4388108785926454E-3</v>
      </c>
      <c r="C64" s="2">
        <f t="shared" si="1"/>
        <v>78719682.727462664</v>
      </c>
      <c r="E64">
        <v>0.56000000000000005</v>
      </c>
      <c r="F64" s="2">
        <f t="shared" si="2"/>
        <v>1.1597872957684408</v>
      </c>
      <c r="G64" s="2">
        <f t="shared" si="3"/>
        <v>9672626046.7087955</v>
      </c>
      <c r="I64">
        <v>0.56000000000000005</v>
      </c>
      <c r="J64" s="2">
        <f t="shared" si="4"/>
        <v>5.7658769274133821</v>
      </c>
      <c r="K64" s="2">
        <f t="shared" si="5"/>
        <v>48087413574.627609</v>
      </c>
      <c r="M64">
        <v>0.56000000000000005</v>
      </c>
      <c r="N64" s="2">
        <f t="shared" si="6"/>
        <v>20.799600087221197</v>
      </c>
      <c r="O64" s="2">
        <f t="shared" si="7"/>
        <v>173468664727.42477</v>
      </c>
      <c r="Q64">
        <v>0.56000000000000005</v>
      </c>
      <c r="R64" s="2">
        <f t="shared" si="8"/>
        <v>59.420650050077519</v>
      </c>
      <c r="S64" s="2">
        <f t="shared" si="9"/>
        <v>495568221417.64648</v>
      </c>
    </row>
    <row r="65" spans="1:19" x14ac:dyDescent="0.25">
      <c r="A65">
        <v>0.56999999999999995</v>
      </c>
      <c r="B65" s="2">
        <f t="shared" si="0"/>
        <v>9.2242924495337265E-3</v>
      </c>
      <c r="C65" s="2">
        <f t="shared" si="1"/>
        <v>76930599.029111281</v>
      </c>
      <c r="E65">
        <v>0.56999999999999995</v>
      </c>
      <c r="F65" s="2">
        <f t="shared" si="2"/>
        <v>1.1334284935918859</v>
      </c>
      <c r="G65" s="2">
        <f t="shared" si="3"/>
        <v>9452793636.5563278</v>
      </c>
      <c r="I65">
        <v>0.56999999999999995</v>
      </c>
      <c r="J65" s="2">
        <f t="shared" si="4"/>
        <v>5.6348342699721714</v>
      </c>
      <c r="K65" s="2">
        <f t="shared" si="5"/>
        <v>46994517811.567909</v>
      </c>
      <c r="M65">
        <v>0.56999999999999995</v>
      </c>
      <c r="N65" s="2">
        <f t="shared" si="6"/>
        <v>20.326881903420723</v>
      </c>
      <c r="O65" s="2">
        <f t="shared" si="7"/>
        <v>169526195074.52884</v>
      </c>
      <c r="Q65">
        <v>0.56999999999999995</v>
      </c>
      <c r="R65" s="2">
        <f t="shared" si="8"/>
        <v>58.070180730757599</v>
      </c>
      <c r="S65" s="2">
        <f t="shared" si="9"/>
        <v>484305307294.51837</v>
      </c>
    </row>
    <row r="66" spans="1:19" x14ac:dyDescent="0.25">
      <c r="A66">
        <v>0.57999999999999996</v>
      </c>
      <c r="B66" s="2">
        <f t="shared" si="0"/>
        <v>9.0097740204748006E-3</v>
      </c>
      <c r="C66" s="2">
        <f t="shared" si="1"/>
        <v>75141515.330759838</v>
      </c>
      <c r="E66">
        <v>0.57999999999999996</v>
      </c>
      <c r="F66" s="2">
        <f t="shared" si="2"/>
        <v>1.1070696914153302</v>
      </c>
      <c r="G66" s="2">
        <f t="shared" si="3"/>
        <v>9232961226.4038544</v>
      </c>
      <c r="I66">
        <v>0.57999999999999996</v>
      </c>
      <c r="J66" s="2">
        <f t="shared" si="4"/>
        <v>5.5037916125309572</v>
      </c>
      <c r="K66" s="2">
        <f t="shared" si="5"/>
        <v>45901622048.508186</v>
      </c>
      <c r="M66">
        <v>0.57999999999999996</v>
      </c>
      <c r="N66" s="2">
        <f t="shared" si="6"/>
        <v>19.854163719620239</v>
      </c>
      <c r="O66" s="2">
        <f t="shared" si="7"/>
        <v>165583725421.63278</v>
      </c>
      <c r="Q66">
        <v>0.57999999999999996</v>
      </c>
      <c r="R66" s="2">
        <f t="shared" si="8"/>
        <v>56.71971141143765</v>
      </c>
      <c r="S66" s="2">
        <f t="shared" si="9"/>
        <v>473042393171.39001</v>
      </c>
    </row>
    <row r="67" spans="1:19" x14ac:dyDescent="0.25">
      <c r="A67">
        <v>0.59</v>
      </c>
      <c r="B67" s="2">
        <f t="shared" si="0"/>
        <v>8.7952555914158782E-3</v>
      </c>
      <c r="C67" s="2">
        <f t="shared" si="1"/>
        <v>73352431.632408425</v>
      </c>
      <c r="E67">
        <v>0.59</v>
      </c>
      <c r="F67" s="2">
        <f t="shared" si="2"/>
        <v>1.0807108892387747</v>
      </c>
      <c r="G67" s="2">
        <f t="shared" si="3"/>
        <v>9013128816.2513809</v>
      </c>
      <c r="I67">
        <v>0.59</v>
      </c>
      <c r="J67" s="2">
        <f t="shared" si="4"/>
        <v>5.3727489550897438</v>
      </c>
      <c r="K67" s="2">
        <f t="shared" si="5"/>
        <v>44808726285.448463</v>
      </c>
      <c r="M67">
        <v>0.59</v>
      </c>
      <c r="N67" s="2">
        <f t="shared" si="6"/>
        <v>19.381445535819758</v>
      </c>
      <c r="O67" s="2">
        <f t="shared" si="7"/>
        <v>161641255768.73679</v>
      </c>
      <c r="Q67">
        <v>0.59</v>
      </c>
      <c r="R67" s="2">
        <f t="shared" si="8"/>
        <v>55.369242092117702</v>
      </c>
      <c r="S67" s="2">
        <f t="shared" si="9"/>
        <v>461779479048.2616</v>
      </c>
    </row>
    <row r="68" spans="1:19" x14ac:dyDescent="0.25">
      <c r="A68">
        <v>0.6</v>
      </c>
      <c r="B68" s="2">
        <f t="shared" si="0"/>
        <v>8.5807371623569523E-3</v>
      </c>
      <c r="C68" s="2">
        <f t="shared" si="1"/>
        <v>71563347.934056982</v>
      </c>
      <c r="E68">
        <v>0.6</v>
      </c>
      <c r="F68" s="2">
        <f t="shared" si="2"/>
        <v>1.0543520870622192</v>
      </c>
      <c r="G68" s="2">
        <f t="shared" si="3"/>
        <v>8793296406.0989075</v>
      </c>
      <c r="I68">
        <v>0.6</v>
      </c>
      <c r="J68" s="2">
        <f t="shared" si="4"/>
        <v>5.2417062976485305</v>
      </c>
      <c r="K68" s="2">
        <f t="shared" si="5"/>
        <v>43715830522.388748</v>
      </c>
      <c r="M68">
        <v>0.6</v>
      </c>
      <c r="N68" s="2">
        <f t="shared" si="6"/>
        <v>18.908727352019273</v>
      </c>
      <c r="O68" s="2">
        <f t="shared" si="7"/>
        <v>157698786115.84073</v>
      </c>
      <c r="Q68">
        <v>0.6</v>
      </c>
      <c r="R68" s="2">
        <f t="shared" si="8"/>
        <v>54.018772772797753</v>
      </c>
      <c r="S68" s="2">
        <f t="shared" si="9"/>
        <v>450516564925.13324</v>
      </c>
    </row>
    <row r="69" spans="1:19" x14ac:dyDescent="0.25">
      <c r="A69">
        <v>0.61</v>
      </c>
      <c r="B69" s="2">
        <f t="shared" si="0"/>
        <v>8.3662187332980281E-3</v>
      </c>
      <c r="C69" s="2">
        <f t="shared" si="1"/>
        <v>69774264.235705554</v>
      </c>
      <c r="E69">
        <v>0.61</v>
      </c>
      <c r="F69" s="2">
        <f t="shared" si="2"/>
        <v>1.0279932848856637</v>
      </c>
      <c r="G69" s="2">
        <f t="shared" si="3"/>
        <v>8573463995.946435</v>
      </c>
      <c r="I69">
        <v>0.61</v>
      </c>
      <c r="J69" s="2">
        <f t="shared" si="4"/>
        <v>5.1106636402073171</v>
      </c>
      <c r="K69" s="2">
        <f t="shared" si="5"/>
        <v>42622934759.329025</v>
      </c>
      <c r="M69">
        <v>0.61</v>
      </c>
      <c r="N69" s="2">
        <f t="shared" si="6"/>
        <v>18.436009168218792</v>
      </c>
      <c r="O69" s="2">
        <f t="shared" si="7"/>
        <v>153756316462.94473</v>
      </c>
      <c r="Q69">
        <v>0.61</v>
      </c>
      <c r="R69" s="2">
        <f t="shared" si="8"/>
        <v>52.668303453477812</v>
      </c>
      <c r="S69" s="2">
        <f t="shared" si="9"/>
        <v>439253650802.00494</v>
      </c>
    </row>
    <row r="70" spans="1:19" x14ac:dyDescent="0.25">
      <c r="A70">
        <v>0.62</v>
      </c>
      <c r="B70" s="2">
        <f t="shared" si="0"/>
        <v>8.1517003042391057E-3</v>
      </c>
      <c r="C70" s="2">
        <f t="shared" si="1"/>
        <v>67985180.537354141</v>
      </c>
      <c r="E70">
        <v>0.62</v>
      </c>
      <c r="F70" s="2">
        <f t="shared" si="2"/>
        <v>1.0016344827091082</v>
      </c>
      <c r="G70" s="2">
        <f t="shared" si="3"/>
        <v>8353631585.7939625</v>
      </c>
      <c r="I70">
        <v>0.62</v>
      </c>
      <c r="J70" s="2">
        <f t="shared" si="4"/>
        <v>4.9796209827661038</v>
      </c>
      <c r="K70" s="2">
        <f t="shared" si="5"/>
        <v>41530038996.269302</v>
      </c>
      <c r="M70">
        <v>0.62</v>
      </c>
      <c r="N70" s="2">
        <f t="shared" si="6"/>
        <v>17.963290984418311</v>
      </c>
      <c r="O70" s="2">
        <f t="shared" si="7"/>
        <v>149813846810.04871</v>
      </c>
      <c r="Q70">
        <v>0.62</v>
      </c>
      <c r="R70" s="2">
        <f t="shared" si="8"/>
        <v>51.317834134157863</v>
      </c>
      <c r="S70" s="2">
        <f t="shared" si="9"/>
        <v>427990736678.87653</v>
      </c>
    </row>
    <row r="71" spans="1:19" x14ac:dyDescent="0.25">
      <c r="A71">
        <v>0.63</v>
      </c>
      <c r="B71" s="2">
        <f t="shared" si="0"/>
        <v>7.9371818751801815E-3</v>
      </c>
      <c r="C71" s="2">
        <f t="shared" si="1"/>
        <v>66196096.839002714</v>
      </c>
      <c r="E71">
        <v>0.63</v>
      </c>
      <c r="F71" s="2">
        <f t="shared" si="2"/>
        <v>0.97527568053255276</v>
      </c>
      <c r="G71" s="2">
        <f t="shared" si="3"/>
        <v>8133799175.6414909</v>
      </c>
      <c r="I71">
        <v>0.63</v>
      </c>
      <c r="J71" s="2">
        <f t="shared" si="4"/>
        <v>4.8485783253248904</v>
      </c>
      <c r="K71" s="2">
        <f t="shared" si="5"/>
        <v>40437143233.209587</v>
      </c>
      <c r="M71">
        <v>0.63</v>
      </c>
      <c r="N71" s="2">
        <f t="shared" si="6"/>
        <v>17.490572800617826</v>
      </c>
      <c r="O71" s="2">
        <f t="shared" si="7"/>
        <v>145871377157.15268</v>
      </c>
      <c r="Q71">
        <v>0.63</v>
      </c>
      <c r="R71" s="2">
        <f t="shared" si="8"/>
        <v>49.967364814837921</v>
      </c>
      <c r="S71" s="2">
        <f t="shared" si="9"/>
        <v>416727822555.74823</v>
      </c>
    </row>
    <row r="72" spans="1:19" x14ac:dyDescent="0.25">
      <c r="A72">
        <v>0.64</v>
      </c>
      <c r="B72" s="2">
        <f t="shared" si="0"/>
        <v>7.7226634461212574E-3</v>
      </c>
      <c r="C72" s="2">
        <f t="shared" si="1"/>
        <v>64407013.140651286</v>
      </c>
      <c r="E72">
        <v>0.64</v>
      </c>
      <c r="F72" s="2">
        <f t="shared" si="2"/>
        <v>0.94891687835599725</v>
      </c>
      <c r="G72" s="2">
        <f t="shared" si="3"/>
        <v>7913966765.4890175</v>
      </c>
      <c r="I72">
        <v>0.64</v>
      </c>
      <c r="J72" s="2">
        <f t="shared" si="4"/>
        <v>4.7175356678836771</v>
      </c>
      <c r="K72" s="2">
        <f t="shared" si="5"/>
        <v>39344247470.149864</v>
      </c>
      <c r="M72">
        <v>0.64</v>
      </c>
      <c r="N72" s="2">
        <f t="shared" si="6"/>
        <v>17.017854616817345</v>
      </c>
      <c r="O72" s="2">
        <f t="shared" si="7"/>
        <v>141928907504.25665</v>
      </c>
      <c r="Q72">
        <v>0.64</v>
      </c>
      <c r="R72" s="2">
        <f t="shared" si="8"/>
        <v>48.61689549551798</v>
      </c>
      <c r="S72" s="2">
        <f t="shared" si="9"/>
        <v>405464908432.61993</v>
      </c>
    </row>
    <row r="73" spans="1:19" x14ac:dyDescent="0.25">
      <c r="A73">
        <v>0.65</v>
      </c>
      <c r="B73" s="2">
        <f t="shared" ref="B73:B108" si="10">$B$1*(1-A73)*EXP(-$B$2/8.314/B$6)</f>
        <v>7.5081450170623332E-3</v>
      </c>
      <c r="C73" s="2">
        <f t="shared" ref="C73:C108" si="11">B73*$B$3*$B$4</f>
        <v>62617929.442299858</v>
      </c>
      <c r="E73">
        <v>0.65</v>
      </c>
      <c r="F73" s="2">
        <f t="shared" ref="F73:F108" si="12">$B$1*(1-E73)*EXP(-$B$2/8.314/F$6)</f>
        <v>0.92255807617944174</v>
      </c>
      <c r="G73" s="2">
        <f t="shared" ref="G73:G108" si="13">F73*$B$3*$B$4</f>
        <v>7694134355.336545</v>
      </c>
      <c r="I73">
        <v>0.65</v>
      </c>
      <c r="J73" s="2">
        <f t="shared" ref="J73:J108" si="14">$B$1*(1-I73)*EXP(-$B$2/8.314/J$6)</f>
        <v>4.5864930104424637</v>
      </c>
      <c r="K73" s="2">
        <f t="shared" ref="K73:K108" si="15">J73*$B$3*$B$4</f>
        <v>38251351707.090141</v>
      </c>
      <c r="M73">
        <v>0.65</v>
      </c>
      <c r="N73" s="2">
        <f t="shared" ref="N73:N108" si="16">$B$1*(1-M73)*EXP(-$B$2/8.314/N$6)</f>
        <v>16.545136433016864</v>
      </c>
      <c r="O73" s="2">
        <f t="shared" ref="O73:O108" si="17">N73*$B$3*$B$4</f>
        <v>137986437851.36066</v>
      </c>
      <c r="Q73">
        <v>0.65</v>
      </c>
      <c r="R73" s="2">
        <f t="shared" ref="R73:R108" si="18">$B$1*(1-Q73)*EXP(-$B$2/8.314/R$6)</f>
        <v>47.266426176198031</v>
      </c>
      <c r="S73" s="2">
        <f t="shared" ref="S73:S108" si="19">R73*$B$3*$B$4</f>
        <v>394201994309.49158</v>
      </c>
    </row>
    <row r="74" spans="1:19" x14ac:dyDescent="0.25">
      <c r="A74">
        <v>0.66</v>
      </c>
      <c r="B74" s="2">
        <f t="shared" si="10"/>
        <v>7.2936265880034091E-3</v>
      </c>
      <c r="C74" s="2">
        <f t="shared" si="11"/>
        <v>60828845.74394843</v>
      </c>
      <c r="E74">
        <v>0.66</v>
      </c>
      <c r="F74" s="2">
        <f t="shared" si="12"/>
        <v>0.89619927400288613</v>
      </c>
      <c r="G74" s="2">
        <f t="shared" si="13"/>
        <v>7474301945.1840706</v>
      </c>
      <c r="I74">
        <v>0.66</v>
      </c>
      <c r="J74" s="2">
        <f t="shared" si="14"/>
        <v>4.4554503530012504</v>
      </c>
      <c r="K74" s="2">
        <f t="shared" si="15"/>
        <v>37158455944.030426</v>
      </c>
      <c r="M74">
        <v>0.66</v>
      </c>
      <c r="N74" s="2">
        <f t="shared" si="16"/>
        <v>16.07241824921638</v>
      </c>
      <c r="O74" s="2">
        <f t="shared" si="17"/>
        <v>134043968198.46461</v>
      </c>
      <c r="Q74">
        <v>0.66</v>
      </c>
      <c r="R74" s="2">
        <f t="shared" si="18"/>
        <v>45.915956856878083</v>
      </c>
      <c r="S74" s="2">
        <f t="shared" si="19"/>
        <v>382939080186.36322</v>
      </c>
    </row>
    <row r="75" spans="1:19" x14ac:dyDescent="0.25">
      <c r="A75">
        <v>0.67</v>
      </c>
      <c r="B75" s="2">
        <f t="shared" si="10"/>
        <v>7.0791081589444849E-3</v>
      </c>
      <c r="C75" s="2">
        <f t="shared" si="11"/>
        <v>59039762.045597002</v>
      </c>
      <c r="E75">
        <v>0.67</v>
      </c>
      <c r="F75" s="2">
        <f t="shared" si="12"/>
        <v>0.86984047182633062</v>
      </c>
      <c r="G75" s="2">
        <f t="shared" si="13"/>
        <v>7254469535.0315971</v>
      </c>
      <c r="I75">
        <v>0.67</v>
      </c>
      <c r="J75" s="2">
        <f t="shared" si="14"/>
        <v>4.324407695560037</v>
      </c>
      <c r="K75" s="2">
        <f t="shared" si="15"/>
        <v>36065560180.970703</v>
      </c>
      <c r="M75">
        <v>0.67</v>
      </c>
      <c r="N75" s="2">
        <f t="shared" si="16"/>
        <v>15.599700065415899</v>
      </c>
      <c r="O75" s="2">
        <f t="shared" si="17"/>
        <v>130101498545.5686</v>
      </c>
      <c r="Q75">
        <v>0.67</v>
      </c>
      <c r="R75" s="2">
        <f t="shared" si="18"/>
        <v>44.565487537558141</v>
      </c>
      <c r="S75" s="2">
        <f t="shared" si="19"/>
        <v>371676166063.23492</v>
      </c>
    </row>
    <row r="76" spans="1:19" x14ac:dyDescent="0.25">
      <c r="A76">
        <v>0.68</v>
      </c>
      <c r="B76" s="2">
        <f t="shared" si="10"/>
        <v>6.8645897298855608E-3</v>
      </c>
      <c r="C76" s="2">
        <f t="shared" si="11"/>
        <v>57250678.347245574</v>
      </c>
      <c r="E76">
        <v>0.68</v>
      </c>
      <c r="F76" s="2">
        <f t="shared" si="12"/>
        <v>0.84348166964977522</v>
      </c>
      <c r="G76" s="2">
        <f t="shared" si="13"/>
        <v>7034637124.8791256</v>
      </c>
      <c r="I76">
        <v>0.68</v>
      </c>
      <c r="J76" s="2">
        <f t="shared" si="14"/>
        <v>4.1933650381188237</v>
      </c>
      <c r="K76" s="2">
        <f t="shared" si="15"/>
        <v>34972664417.910988</v>
      </c>
      <c r="M76">
        <v>0.68</v>
      </c>
      <c r="N76" s="2">
        <f t="shared" si="16"/>
        <v>15.126981881615416</v>
      </c>
      <c r="O76" s="2">
        <f t="shared" si="17"/>
        <v>126159028892.67256</v>
      </c>
      <c r="Q76">
        <v>0.68</v>
      </c>
      <c r="R76" s="2">
        <f t="shared" si="18"/>
        <v>43.2150182182382</v>
      </c>
      <c r="S76" s="2">
        <f t="shared" si="19"/>
        <v>360413251940.10663</v>
      </c>
    </row>
    <row r="77" spans="1:19" x14ac:dyDescent="0.25">
      <c r="A77">
        <v>0.69</v>
      </c>
      <c r="B77" s="2">
        <f t="shared" si="10"/>
        <v>6.6500713008266392E-3</v>
      </c>
      <c r="C77" s="2">
        <f t="shared" si="11"/>
        <v>55461594.648894168</v>
      </c>
      <c r="E77">
        <v>0.69</v>
      </c>
      <c r="F77" s="2">
        <f t="shared" si="12"/>
        <v>0.81712286747321994</v>
      </c>
      <c r="G77" s="2">
        <f t="shared" si="13"/>
        <v>6814804714.7266541</v>
      </c>
      <c r="I77">
        <v>0.69</v>
      </c>
      <c r="J77" s="2">
        <f t="shared" si="14"/>
        <v>4.0623223806776112</v>
      </c>
      <c r="K77" s="2">
        <f t="shared" si="15"/>
        <v>33879768654.851276</v>
      </c>
      <c r="M77">
        <v>0.69</v>
      </c>
      <c r="N77" s="2">
        <f t="shared" si="16"/>
        <v>14.654263697814939</v>
      </c>
      <c r="O77" s="2">
        <f t="shared" si="17"/>
        <v>122216559239.7766</v>
      </c>
      <c r="Q77">
        <v>0.69</v>
      </c>
      <c r="R77" s="2">
        <f t="shared" si="18"/>
        <v>41.864548898918265</v>
      </c>
      <c r="S77" s="2">
        <f t="shared" si="19"/>
        <v>349150337816.97833</v>
      </c>
    </row>
    <row r="78" spans="1:19" x14ac:dyDescent="0.25">
      <c r="A78">
        <v>0.7</v>
      </c>
      <c r="B78" s="2">
        <f t="shared" si="10"/>
        <v>6.4355528717677159E-3</v>
      </c>
      <c r="C78" s="2">
        <f t="shared" si="11"/>
        <v>53672510.950542755</v>
      </c>
      <c r="E78">
        <v>0.7</v>
      </c>
      <c r="F78" s="2">
        <f t="shared" si="12"/>
        <v>0.79076406529666443</v>
      </c>
      <c r="G78" s="2">
        <f t="shared" si="13"/>
        <v>6594972304.5741806</v>
      </c>
      <c r="I78">
        <v>0.7</v>
      </c>
      <c r="J78" s="2">
        <f t="shared" si="14"/>
        <v>3.9312797232363983</v>
      </c>
      <c r="K78" s="2">
        <f t="shared" si="15"/>
        <v>32786872891.791561</v>
      </c>
      <c r="M78">
        <v>0.7</v>
      </c>
      <c r="N78" s="2">
        <f t="shared" si="16"/>
        <v>14.181545514014458</v>
      </c>
      <c r="O78" s="2">
        <f t="shared" si="17"/>
        <v>118274089586.88057</v>
      </c>
      <c r="Q78">
        <v>0.7</v>
      </c>
      <c r="R78" s="2">
        <f t="shared" si="18"/>
        <v>40.514079579598324</v>
      </c>
      <c r="S78" s="2">
        <f t="shared" si="19"/>
        <v>337887423693.85004</v>
      </c>
    </row>
    <row r="79" spans="1:19" x14ac:dyDescent="0.25">
      <c r="A79">
        <v>0.71</v>
      </c>
      <c r="B79" s="2">
        <f t="shared" si="10"/>
        <v>6.2210344427087918E-3</v>
      </c>
      <c r="C79" s="2">
        <f t="shared" si="11"/>
        <v>51883427.252191328</v>
      </c>
      <c r="E79">
        <v>0.71</v>
      </c>
      <c r="F79" s="2">
        <f t="shared" si="12"/>
        <v>0.76440526312010904</v>
      </c>
      <c r="G79" s="2">
        <f t="shared" si="13"/>
        <v>6375139894.4217091</v>
      </c>
      <c r="I79">
        <v>0.71</v>
      </c>
      <c r="J79" s="2">
        <f t="shared" si="14"/>
        <v>3.8002370657951849</v>
      </c>
      <c r="K79" s="2">
        <f t="shared" si="15"/>
        <v>31693977128.731846</v>
      </c>
      <c r="M79">
        <v>0.71</v>
      </c>
      <c r="N79" s="2">
        <f t="shared" si="16"/>
        <v>13.708827330213975</v>
      </c>
      <c r="O79" s="2">
        <f t="shared" si="17"/>
        <v>114331619933.98456</v>
      </c>
      <c r="Q79">
        <v>0.71</v>
      </c>
      <c r="R79" s="2">
        <f t="shared" si="18"/>
        <v>39.163610260278375</v>
      </c>
      <c r="S79" s="2">
        <f t="shared" si="19"/>
        <v>326624509570.72162</v>
      </c>
    </row>
    <row r="80" spans="1:19" x14ac:dyDescent="0.25">
      <c r="A80">
        <v>0.72</v>
      </c>
      <c r="B80" s="2">
        <f t="shared" si="10"/>
        <v>6.0065160136498676E-3</v>
      </c>
      <c r="C80" s="2">
        <f t="shared" si="11"/>
        <v>50094343.5538399</v>
      </c>
      <c r="E80">
        <v>0.72</v>
      </c>
      <c r="F80" s="2">
        <f t="shared" si="12"/>
        <v>0.73804646094355353</v>
      </c>
      <c r="G80" s="2">
        <f t="shared" si="13"/>
        <v>6155307484.2692366</v>
      </c>
      <c r="I80">
        <v>0.72</v>
      </c>
      <c r="J80" s="2">
        <f t="shared" si="14"/>
        <v>3.6691944083539716</v>
      </c>
      <c r="K80" s="2">
        <f t="shared" si="15"/>
        <v>30601081365.672123</v>
      </c>
      <c r="M80">
        <v>0.72</v>
      </c>
      <c r="N80" s="2">
        <f t="shared" si="16"/>
        <v>13.236109146413494</v>
      </c>
      <c r="O80" s="2">
        <f t="shared" si="17"/>
        <v>110389150281.08853</v>
      </c>
      <c r="Q80">
        <v>0.72</v>
      </c>
      <c r="R80" s="2">
        <f t="shared" si="18"/>
        <v>37.813140940958434</v>
      </c>
      <c r="S80" s="2">
        <f t="shared" si="19"/>
        <v>315361595447.59332</v>
      </c>
    </row>
    <row r="81" spans="1:19" x14ac:dyDescent="0.25">
      <c r="A81">
        <v>0.73</v>
      </c>
      <c r="B81" s="2">
        <f t="shared" si="10"/>
        <v>5.7919975845909435E-3</v>
      </c>
      <c r="C81" s="2">
        <f t="shared" si="11"/>
        <v>48305259.855488464</v>
      </c>
      <c r="E81">
        <v>0.73</v>
      </c>
      <c r="F81" s="2">
        <f t="shared" si="12"/>
        <v>0.71168765876699791</v>
      </c>
      <c r="G81" s="2">
        <f t="shared" si="13"/>
        <v>5935475074.1167622</v>
      </c>
      <c r="I81">
        <v>0.73</v>
      </c>
      <c r="J81" s="2">
        <f t="shared" si="14"/>
        <v>3.5381517509127578</v>
      </c>
      <c r="K81" s="2">
        <f t="shared" si="15"/>
        <v>29508185602.6124</v>
      </c>
      <c r="M81">
        <v>0.73</v>
      </c>
      <c r="N81" s="2">
        <f t="shared" si="16"/>
        <v>12.763390962613009</v>
      </c>
      <c r="O81" s="2">
        <f t="shared" si="17"/>
        <v>106446680628.1925</v>
      </c>
      <c r="Q81">
        <v>0.73</v>
      </c>
      <c r="R81" s="2">
        <f t="shared" si="18"/>
        <v>36.462671621638485</v>
      </c>
      <c r="S81" s="2">
        <f t="shared" si="19"/>
        <v>304098681324.46497</v>
      </c>
    </row>
    <row r="82" spans="1:19" x14ac:dyDescent="0.25">
      <c r="A82">
        <v>0.74</v>
      </c>
      <c r="B82" s="2">
        <f t="shared" si="10"/>
        <v>5.5774791555320193E-3</v>
      </c>
      <c r="C82" s="2">
        <f t="shared" si="11"/>
        <v>46516176.157137036</v>
      </c>
      <c r="E82">
        <v>0.74</v>
      </c>
      <c r="F82" s="2">
        <f t="shared" si="12"/>
        <v>0.6853288565904424</v>
      </c>
      <c r="G82" s="2">
        <f t="shared" si="13"/>
        <v>5715642663.9642897</v>
      </c>
      <c r="I82">
        <v>0.74</v>
      </c>
      <c r="J82" s="2">
        <f t="shared" si="14"/>
        <v>3.4071090934715444</v>
      </c>
      <c r="K82" s="2">
        <f t="shared" si="15"/>
        <v>28415289839.552677</v>
      </c>
      <c r="M82">
        <v>0.74</v>
      </c>
      <c r="N82" s="2">
        <f t="shared" si="16"/>
        <v>12.290672778812528</v>
      </c>
      <c r="O82" s="2">
        <f t="shared" si="17"/>
        <v>102504210975.29648</v>
      </c>
      <c r="Q82">
        <v>0.74</v>
      </c>
      <c r="R82" s="2">
        <f t="shared" si="18"/>
        <v>35.112202302318536</v>
      </c>
      <c r="S82" s="2">
        <f t="shared" si="19"/>
        <v>292835767201.33661</v>
      </c>
    </row>
    <row r="83" spans="1:19" x14ac:dyDescent="0.25">
      <c r="A83">
        <v>0.75</v>
      </c>
      <c r="B83" s="2">
        <f t="shared" si="10"/>
        <v>5.3629607264730952E-3</v>
      </c>
      <c r="C83" s="2">
        <f t="shared" si="11"/>
        <v>44727092.458785608</v>
      </c>
      <c r="E83">
        <v>0.75</v>
      </c>
      <c r="F83" s="2">
        <f t="shared" si="12"/>
        <v>0.65897005441388701</v>
      </c>
      <c r="G83" s="2">
        <f t="shared" si="13"/>
        <v>5495810253.8118181</v>
      </c>
      <c r="I83">
        <v>0.75</v>
      </c>
      <c r="J83" s="2">
        <f t="shared" si="14"/>
        <v>3.2760664360303311</v>
      </c>
      <c r="K83" s="2">
        <f t="shared" si="15"/>
        <v>27322394076.492962</v>
      </c>
      <c r="M83">
        <v>0.75</v>
      </c>
      <c r="N83" s="2">
        <f t="shared" si="16"/>
        <v>11.817954595012045</v>
      </c>
      <c r="O83" s="2">
        <f t="shared" si="17"/>
        <v>98561741322.400452</v>
      </c>
      <c r="Q83">
        <v>0.75</v>
      </c>
      <c r="R83" s="2">
        <f t="shared" si="18"/>
        <v>33.761732982998595</v>
      </c>
      <c r="S83" s="2">
        <f t="shared" si="19"/>
        <v>281572853078.20825</v>
      </c>
    </row>
    <row r="84" spans="1:19" x14ac:dyDescent="0.25">
      <c r="A84">
        <v>0.76</v>
      </c>
      <c r="B84" s="2">
        <f t="shared" si="10"/>
        <v>5.1484422974141719E-3</v>
      </c>
      <c r="C84" s="2">
        <f t="shared" si="11"/>
        <v>42938008.760434195</v>
      </c>
      <c r="E84">
        <v>0.76</v>
      </c>
      <c r="F84" s="2">
        <f t="shared" si="12"/>
        <v>0.6326112522373315</v>
      </c>
      <c r="G84" s="2">
        <f t="shared" si="13"/>
        <v>5275977843.6593447</v>
      </c>
      <c r="I84">
        <v>0.76</v>
      </c>
      <c r="J84" s="2">
        <f t="shared" si="14"/>
        <v>3.1450237785891182</v>
      </c>
      <c r="K84" s="2">
        <f t="shared" si="15"/>
        <v>26229498313.433247</v>
      </c>
      <c r="M84">
        <v>0.76</v>
      </c>
      <c r="N84" s="2">
        <f t="shared" si="16"/>
        <v>11.345236411211564</v>
      </c>
      <c r="O84" s="2">
        <f t="shared" si="17"/>
        <v>94619271669.504456</v>
      </c>
      <c r="Q84">
        <v>0.76</v>
      </c>
      <c r="R84" s="2">
        <f t="shared" si="18"/>
        <v>32.411263663678653</v>
      </c>
      <c r="S84" s="2">
        <f t="shared" si="19"/>
        <v>270309938955.07999</v>
      </c>
    </row>
    <row r="85" spans="1:19" x14ac:dyDescent="0.25">
      <c r="A85">
        <v>0.77</v>
      </c>
      <c r="B85" s="2">
        <f t="shared" si="10"/>
        <v>4.9339238683552477E-3</v>
      </c>
      <c r="C85" s="2">
        <f t="shared" si="11"/>
        <v>41148925.062082767</v>
      </c>
      <c r="E85">
        <v>0.77</v>
      </c>
      <c r="F85" s="2">
        <f t="shared" si="12"/>
        <v>0.60625245006077599</v>
      </c>
      <c r="G85" s="2">
        <f t="shared" si="13"/>
        <v>5056145433.5068722</v>
      </c>
      <c r="I85">
        <v>0.77</v>
      </c>
      <c r="J85" s="2">
        <f t="shared" si="14"/>
        <v>3.0139811211479048</v>
      </c>
      <c r="K85" s="2">
        <f t="shared" si="15"/>
        <v>25136602550.373524</v>
      </c>
      <c r="M85">
        <v>0.77</v>
      </c>
      <c r="N85" s="2">
        <f t="shared" si="16"/>
        <v>10.872518227411081</v>
      </c>
      <c r="O85" s="2">
        <f t="shared" si="17"/>
        <v>90676802016.608414</v>
      </c>
      <c r="Q85">
        <v>0.77</v>
      </c>
      <c r="R85" s="2">
        <f t="shared" si="18"/>
        <v>31.060794344358708</v>
      </c>
      <c r="S85" s="2">
        <f t="shared" si="19"/>
        <v>259047024831.95163</v>
      </c>
    </row>
    <row r="86" spans="1:19" x14ac:dyDescent="0.25">
      <c r="A86">
        <v>0.78</v>
      </c>
      <c r="B86" s="2">
        <f t="shared" si="10"/>
        <v>4.7194054392963227E-3</v>
      </c>
      <c r="C86" s="2">
        <f t="shared" si="11"/>
        <v>39359841.363731332</v>
      </c>
      <c r="E86">
        <v>0.78</v>
      </c>
      <c r="F86" s="2">
        <f t="shared" si="12"/>
        <v>0.57989364788422038</v>
      </c>
      <c r="G86" s="2">
        <f t="shared" si="13"/>
        <v>4836313023.3543978</v>
      </c>
      <c r="I86">
        <v>0.78</v>
      </c>
      <c r="J86" s="2">
        <f t="shared" si="14"/>
        <v>2.882938463706691</v>
      </c>
      <c r="K86" s="2">
        <f t="shared" si="15"/>
        <v>24043706787.313805</v>
      </c>
      <c r="M86">
        <v>0.78</v>
      </c>
      <c r="N86" s="2">
        <f t="shared" si="16"/>
        <v>10.399800043610599</v>
      </c>
      <c r="O86" s="2">
        <f t="shared" si="17"/>
        <v>86734332363.712387</v>
      </c>
      <c r="Q86">
        <v>0.78</v>
      </c>
      <c r="R86" s="2">
        <f t="shared" si="18"/>
        <v>29.71032502503876</v>
      </c>
      <c r="S86" s="2">
        <f t="shared" si="19"/>
        <v>247784110708.82324</v>
      </c>
    </row>
    <row r="87" spans="1:19" x14ac:dyDescent="0.25">
      <c r="A87">
        <v>0.79</v>
      </c>
      <c r="B87" s="2">
        <f t="shared" si="10"/>
        <v>4.5048870102373994E-3</v>
      </c>
      <c r="C87" s="2">
        <f t="shared" si="11"/>
        <v>37570757.665379912</v>
      </c>
      <c r="E87">
        <v>0.79</v>
      </c>
      <c r="F87" s="2">
        <f t="shared" si="12"/>
        <v>0.55353484570766498</v>
      </c>
      <c r="G87" s="2">
        <f t="shared" si="13"/>
        <v>4616480613.2019262</v>
      </c>
      <c r="I87">
        <v>0.79</v>
      </c>
      <c r="J87" s="2">
        <f t="shared" si="14"/>
        <v>2.7518958062654781</v>
      </c>
      <c r="K87" s="2">
        <f t="shared" si="15"/>
        <v>22950811024.254086</v>
      </c>
      <c r="M87">
        <v>0.79</v>
      </c>
      <c r="N87" s="2">
        <f t="shared" si="16"/>
        <v>9.9270818598101176</v>
      </c>
      <c r="O87" s="2">
        <f t="shared" si="17"/>
        <v>82791862710.816376</v>
      </c>
      <c r="Q87">
        <v>0.79</v>
      </c>
      <c r="R87" s="2">
        <f t="shared" si="18"/>
        <v>28.359855705718818</v>
      </c>
      <c r="S87" s="2">
        <f t="shared" si="19"/>
        <v>236521196585.69495</v>
      </c>
    </row>
    <row r="88" spans="1:19" x14ac:dyDescent="0.25">
      <c r="A88">
        <v>0.8</v>
      </c>
      <c r="B88" s="2">
        <f t="shared" si="10"/>
        <v>4.2903685811784753E-3</v>
      </c>
      <c r="C88" s="2">
        <f t="shared" si="11"/>
        <v>35781673.967028484</v>
      </c>
      <c r="E88">
        <v>0.8</v>
      </c>
      <c r="F88" s="2">
        <f t="shared" si="12"/>
        <v>0.52717604353110947</v>
      </c>
      <c r="G88" s="2">
        <f t="shared" si="13"/>
        <v>4396648203.0494528</v>
      </c>
      <c r="I88">
        <v>0.8</v>
      </c>
      <c r="J88" s="2">
        <f t="shared" si="14"/>
        <v>2.6208531488242643</v>
      </c>
      <c r="K88" s="2">
        <f t="shared" si="15"/>
        <v>21857915261.194363</v>
      </c>
      <c r="M88">
        <v>0.8</v>
      </c>
      <c r="N88" s="2">
        <f t="shared" si="16"/>
        <v>9.4543636760096348</v>
      </c>
      <c r="O88" s="2">
        <f t="shared" si="17"/>
        <v>78849393057.920364</v>
      </c>
      <c r="Q88">
        <v>0.8</v>
      </c>
      <c r="R88" s="2">
        <f t="shared" si="18"/>
        <v>27.009386386398869</v>
      </c>
      <c r="S88" s="2">
        <f t="shared" si="19"/>
        <v>225258282462.56656</v>
      </c>
    </row>
    <row r="89" spans="1:19" x14ac:dyDescent="0.25">
      <c r="A89">
        <v>0.81</v>
      </c>
      <c r="B89" s="2">
        <f t="shared" si="10"/>
        <v>4.0758501521195511E-3</v>
      </c>
      <c r="C89" s="2">
        <f t="shared" si="11"/>
        <v>33992590.268677056</v>
      </c>
      <c r="E89">
        <v>0.81</v>
      </c>
      <c r="F89" s="2">
        <f t="shared" si="12"/>
        <v>0.50081724135455397</v>
      </c>
      <c r="G89" s="2">
        <f t="shared" si="13"/>
        <v>4176815792.8969803</v>
      </c>
      <c r="I89">
        <v>0.81</v>
      </c>
      <c r="J89" s="2">
        <f t="shared" si="14"/>
        <v>2.489810491383051</v>
      </c>
      <c r="K89" s="2">
        <f t="shared" si="15"/>
        <v>20765019498.134644</v>
      </c>
      <c r="M89">
        <v>0.81</v>
      </c>
      <c r="N89" s="2">
        <f t="shared" si="16"/>
        <v>8.981645492209152</v>
      </c>
      <c r="O89" s="2">
        <f t="shared" si="17"/>
        <v>74906923405.024338</v>
      </c>
      <c r="Q89">
        <v>0.81</v>
      </c>
      <c r="R89" s="2">
        <f t="shared" si="18"/>
        <v>25.658917067078928</v>
      </c>
      <c r="S89" s="2">
        <f t="shared" si="19"/>
        <v>213995368339.43826</v>
      </c>
    </row>
    <row r="90" spans="1:19" x14ac:dyDescent="0.25">
      <c r="A90">
        <v>0.82</v>
      </c>
      <c r="B90" s="2">
        <f t="shared" si="10"/>
        <v>3.8613317230606296E-3</v>
      </c>
      <c r="C90" s="2">
        <f t="shared" si="11"/>
        <v>32203506.570325654</v>
      </c>
      <c r="E90">
        <v>0.82</v>
      </c>
      <c r="F90" s="2">
        <f t="shared" si="12"/>
        <v>0.47445843917799874</v>
      </c>
      <c r="G90" s="2">
        <f t="shared" si="13"/>
        <v>3956983382.7445097</v>
      </c>
      <c r="I90">
        <v>0.82</v>
      </c>
      <c r="J90" s="2">
        <f t="shared" si="14"/>
        <v>2.358767833941839</v>
      </c>
      <c r="K90" s="2">
        <f t="shared" si="15"/>
        <v>19672123735.074936</v>
      </c>
      <c r="M90">
        <v>0.82</v>
      </c>
      <c r="N90" s="2">
        <f t="shared" si="16"/>
        <v>8.5089273084086745</v>
      </c>
      <c r="O90" s="2">
        <f t="shared" si="17"/>
        <v>70964453752.128342</v>
      </c>
      <c r="Q90">
        <v>0.82</v>
      </c>
      <c r="R90" s="2">
        <f t="shared" si="18"/>
        <v>24.308447747758997</v>
      </c>
      <c r="S90" s="2">
        <f t="shared" si="19"/>
        <v>202732454216.31003</v>
      </c>
    </row>
    <row r="91" spans="1:19" x14ac:dyDescent="0.25">
      <c r="A91">
        <v>0.83</v>
      </c>
      <c r="B91" s="2">
        <f t="shared" si="10"/>
        <v>3.6468132940017058E-3</v>
      </c>
      <c r="C91" s="2">
        <f t="shared" si="11"/>
        <v>30414422.871974226</v>
      </c>
      <c r="E91">
        <v>0.83</v>
      </c>
      <c r="F91" s="2">
        <f t="shared" si="12"/>
        <v>0.44809963700144329</v>
      </c>
      <c r="G91" s="2">
        <f t="shared" si="13"/>
        <v>3737150972.5920372</v>
      </c>
      <c r="I91">
        <v>0.83</v>
      </c>
      <c r="J91" s="2">
        <f t="shared" si="14"/>
        <v>2.2277251765006261</v>
      </c>
      <c r="K91" s="2">
        <f t="shared" si="15"/>
        <v>18579227972.015221</v>
      </c>
      <c r="M91">
        <v>0.83</v>
      </c>
      <c r="N91" s="2">
        <f t="shared" si="16"/>
        <v>8.0362091246081935</v>
      </c>
      <c r="O91" s="2">
        <f t="shared" si="17"/>
        <v>67021984099.23233</v>
      </c>
      <c r="Q91">
        <v>0.83</v>
      </c>
      <c r="R91" s="2">
        <f t="shared" si="18"/>
        <v>22.957978428439052</v>
      </c>
      <c r="S91" s="2">
        <f t="shared" si="19"/>
        <v>191469540093.18167</v>
      </c>
    </row>
    <row r="92" spans="1:19" x14ac:dyDescent="0.25">
      <c r="A92">
        <v>0.84</v>
      </c>
      <c r="B92" s="2">
        <f t="shared" si="10"/>
        <v>3.4322948649427817E-3</v>
      </c>
      <c r="C92" s="2">
        <f t="shared" si="11"/>
        <v>28625339.173622798</v>
      </c>
      <c r="E92">
        <v>0.84</v>
      </c>
      <c r="F92" s="2">
        <f t="shared" si="12"/>
        <v>0.42174083482488772</v>
      </c>
      <c r="G92" s="2">
        <f t="shared" si="13"/>
        <v>3517318562.4395633</v>
      </c>
      <c r="I92">
        <v>0.84</v>
      </c>
      <c r="J92" s="2">
        <f t="shared" si="14"/>
        <v>2.0966825190594123</v>
      </c>
      <c r="K92" s="2">
        <f t="shared" si="15"/>
        <v>17486332208.955498</v>
      </c>
      <c r="M92">
        <v>0.84</v>
      </c>
      <c r="N92" s="2">
        <f t="shared" si="16"/>
        <v>7.5634909408077107</v>
      </c>
      <c r="O92" s="2">
        <f t="shared" si="17"/>
        <v>63079514446.336304</v>
      </c>
      <c r="Q92">
        <v>0.84</v>
      </c>
      <c r="R92" s="2">
        <f t="shared" si="18"/>
        <v>21.607509109119103</v>
      </c>
      <c r="S92" s="2">
        <f t="shared" si="19"/>
        <v>180206625970.05331</v>
      </c>
    </row>
    <row r="93" spans="1:19" x14ac:dyDescent="0.25">
      <c r="A93">
        <v>0.85</v>
      </c>
      <c r="B93" s="2">
        <f t="shared" si="10"/>
        <v>3.217776435883858E-3</v>
      </c>
      <c r="C93" s="2">
        <f t="shared" si="11"/>
        <v>26836255.475271378</v>
      </c>
      <c r="E93">
        <v>0.85</v>
      </c>
      <c r="F93" s="2">
        <f t="shared" si="12"/>
        <v>0.39538203264833222</v>
      </c>
      <c r="G93" s="2">
        <f t="shared" si="13"/>
        <v>3297486152.2870903</v>
      </c>
      <c r="I93">
        <v>0.85</v>
      </c>
      <c r="J93" s="2">
        <f t="shared" si="14"/>
        <v>1.9656398616181991</v>
      </c>
      <c r="K93" s="2">
        <f t="shared" si="15"/>
        <v>16393436445.895781</v>
      </c>
      <c r="M93">
        <v>0.85</v>
      </c>
      <c r="N93" s="2">
        <f t="shared" si="16"/>
        <v>7.0907727570072288</v>
      </c>
      <c r="O93" s="2">
        <f t="shared" si="17"/>
        <v>59137044793.440285</v>
      </c>
      <c r="Q93">
        <v>0.85</v>
      </c>
      <c r="R93" s="2">
        <f t="shared" si="18"/>
        <v>20.257039789799162</v>
      </c>
      <c r="S93" s="2">
        <f t="shared" si="19"/>
        <v>168943711846.92502</v>
      </c>
    </row>
    <row r="94" spans="1:19" x14ac:dyDescent="0.25">
      <c r="A94">
        <v>0.86</v>
      </c>
      <c r="B94" s="2">
        <f t="shared" si="10"/>
        <v>3.0032580068249338E-3</v>
      </c>
      <c r="C94" s="2">
        <f t="shared" si="11"/>
        <v>25047171.77691995</v>
      </c>
      <c r="E94">
        <v>0.86</v>
      </c>
      <c r="F94" s="2">
        <f t="shared" si="12"/>
        <v>0.36902323047177676</v>
      </c>
      <c r="G94" s="2">
        <f t="shared" si="13"/>
        <v>3077653742.1346183</v>
      </c>
      <c r="I94">
        <v>0.86</v>
      </c>
      <c r="J94" s="2">
        <f t="shared" si="14"/>
        <v>1.8345972041769858</v>
      </c>
      <c r="K94" s="2">
        <f t="shared" si="15"/>
        <v>15300540682.836061</v>
      </c>
      <c r="M94">
        <v>0.86</v>
      </c>
      <c r="N94" s="2">
        <f t="shared" si="16"/>
        <v>6.6180545732067468</v>
      </c>
      <c r="O94" s="2">
        <f t="shared" si="17"/>
        <v>55194575140.544266</v>
      </c>
      <c r="Q94">
        <v>0.86</v>
      </c>
      <c r="R94" s="2">
        <f t="shared" si="18"/>
        <v>18.906570470479217</v>
      </c>
      <c r="S94" s="2">
        <f t="shared" si="19"/>
        <v>157680797723.79666</v>
      </c>
    </row>
    <row r="95" spans="1:19" x14ac:dyDescent="0.25">
      <c r="A95">
        <v>0.87</v>
      </c>
      <c r="B95" s="2">
        <f t="shared" si="10"/>
        <v>2.7887395777660097E-3</v>
      </c>
      <c r="C95" s="2">
        <f t="shared" si="11"/>
        <v>23258088.078568518</v>
      </c>
      <c r="E95">
        <v>0.87</v>
      </c>
      <c r="F95" s="2">
        <f t="shared" si="12"/>
        <v>0.3426644282952212</v>
      </c>
      <c r="G95" s="2">
        <f t="shared" si="13"/>
        <v>2857821331.9821448</v>
      </c>
      <c r="I95">
        <v>0.87</v>
      </c>
      <c r="J95" s="2">
        <f t="shared" si="14"/>
        <v>1.7035545467357722</v>
      </c>
      <c r="K95" s="2">
        <f t="shared" si="15"/>
        <v>14207644919.776339</v>
      </c>
      <c r="M95">
        <v>0.87</v>
      </c>
      <c r="N95" s="2">
        <f t="shared" si="16"/>
        <v>6.145336389406264</v>
      </c>
      <c r="O95" s="2">
        <f t="shared" si="17"/>
        <v>51252105487.648239</v>
      </c>
      <c r="Q95">
        <v>0.87</v>
      </c>
      <c r="R95" s="2">
        <f t="shared" si="18"/>
        <v>17.556101151159268</v>
      </c>
      <c r="S95" s="2">
        <f t="shared" si="19"/>
        <v>146417883600.6683</v>
      </c>
    </row>
    <row r="96" spans="1:19" x14ac:dyDescent="0.25">
      <c r="A96">
        <v>0.88</v>
      </c>
      <c r="B96" s="2">
        <f t="shared" si="10"/>
        <v>2.5742211487070859E-3</v>
      </c>
      <c r="C96" s="2">
        <f t="shared" si="11"/>
        <v>21469004.380217098</v>
      </c>
      <c r="E96">
        <v>0.88</v>
      </c>
      <c r="F96" s="2">
        <f t="shared" si="12"/>
        <v>0.31630562611866575</v>
      </c>
      <c r="G96" s="2">
        <f t="shared" si="13"/>
        <v>2637988921.8296723</v>
      </c>
      <c r="I96">
        <v>0.88</v>
      </c>
      <c r="J96" s="2">
        <f t="shared" si="14"/>
        <v>1.5725118892945591</v>
      </c>
      <c r="K96" s="2">
        <f t="shared" si="15"/>
        <v>13114749156.716623</v>
      </c>
      <c r="M96">
        <v>0.88</v>
      </c>
      <c r="N96" s="2">
        <f t="shared" si="16"/>
        <v>5.6726182056057821</v>
      </c>
      <c r="O96" s="2">
        <f t="shared" si="17"/>
        <v>47309635834.752228</v>
      </c>
      <c r="Q96">
        <v>0.88</v>
      </c>
      <c r="R96" s="2">
        <f t="shared" si="18"/>
        <v>16.205631831839327</v>
      </c>
      <c r="S96" s="2">
        <f t="shared" si="19"/>
        <v>135154969477.53999</v>
      </c>
    </row>
    <row r="97" spans="1:19" x14ac:dyDescent="0.25">
      <c r="A97">
        <v>0.89</v>
      </c>
      <c r="B97" s="2">
        <f t="shared" si="10"/>
        <v>2.3597027196481614E-3</v>
      </c>
      <c r="C97" s="2">
        <f t="shared" si="11"/>
        <v>19679920.681865666</v>
      </c>
      <c r="E97">
        <v>0.89</v>
      </c>
      <c r="F97" s="2">
        <f t="shared" si="12"/>
        <v>0.28994682394211019</v>
      </c>
      <c r="G97" s="2">
        <f t="shared" si="13"/>
        <v>2418156511.6771989</v>
      </c>
      <c r="I97">
        <v>0.89</v>
      </c>
      <c r="J97" s="2">
        <f t="shared" si="14"/>
        <v>1.4414692318533455</v>
      </c>
      <c r="K97" s="2">
        <f t="shared" si="15"/>
        <v>12021853393.656902</v>
      </c>
      <c r="M97">
        <v>0.89</v>
      </c>
      <c r="N97" s="2">
        <f t="shared" si="16"/>
        <v>5.1999000218052993</v>
      </c>
      <c r="O97" s="2">
        <f t="shared" si="17"/>
        <v>43367166181.856194</v>
      </c>
      <c r="Q97">
        <v>0.89</v>
      </c>
      <c r="R97" s="2">
        <f t="shared" si="18"/>
        <v>14.85516251251938</v>
      </c>
      <c r="S97" s="2">
        <f t="shared" si="19"/>
        <v>123892055354.41162</v>
      </c>
    </row>
    <row r="98" spans="1:19" x14ac:dyDescent="0.25">
      <c r="A98">
        <v>0.9</v>
      </c>
      <c r="B98" s="2">
        <f t="shared" si="10"/>
        <v>2.1451842905892376E-3</v>
      </c>
      <c r="C98" s="2">
        <f t="shared" si="11"/>
        <v>17890836.983514242</v>
      </c>
      <c r="E98">
        <v>0.9</v>
      </c>
      <c r="F98" s="2">
        <f t="shared" si="12"/>
        <v>0.26358802176555474</v>
      </c>
      <c r="G98" s="2">
        <f t="shared" si="13"/>
        <v>2198324101.5247264</v>
      </c>
      <c r="I98">
        <v>0.9</v>
      </c>
      <c r="J98" s="2">
        <f t="shared" si="14"/>
        <v>1.3104265744121322</v>
      </c>
      <c r="K98" s="2">
        <f t="shared" si="15"/>
        <v>10928957630.597181</v>
      </c>
      <c r="M98">
        <v>0.9</v>
      </c>
      <c r="N98" s="2">
        <f t="shared" si="16"/>
        <v>4.7271818380048174</v>
      </c>
      <c r="O98" s="2">
        <f t="shared" si="17"/>
        <v>39424696528.960182</v>
      </c>
      <c r="Q98">
        <v>0.9</v>
      </c>
      <c r="R98" s="2">
        <f t="shared" si="18"/>
        <v>13.504693193199435</v>
      </c>
      <c r="S98" s="2">
        <f t="shared" si="19"/>
        <v>112629141231.28328</v>
      </c>
    </row>
    <row r="99" spans="1:19" x14ac:dyDescent="0.25">
      <c r="A99">
        <v>0.91</v>
      </c>
      <c r="B99" s="2">
        <f t="shared" si="10"/>
        <v>1.9306658615303137E-3</v>
      </c>
      <c r="C99" s="2">
        <f t="shared" si="11"/>
        <v>16101753.285162816</v>
      </c>
      <c r="E99">
        <v>0.91</v>
      </c>
      <c r="F99" s="2">
        <f t="shared" si="12"/>
        <v>0.2372292195889992</v>
      </c>
      <c r="G99" s="2">
        <f t="shared" si="13"/>
        <v>1978491691.3722534</v>
      </c>
      <c r="I99">
        <v>0.91</v>
      </c>
      <c r="J99" s="2">
        <f t="shared" si="14"/>
        <v>1.1793839169709188</v>
      </c>
      <c r="K99" s="2">
        <f t="shared" si="15"/>
        <v>9836061867.5374622</v>
      </c>
      <c r="M99">
        <v>0.91</v>
      </c>
      <c r="N99" s="2">
        <f t="shared" si="16"/>
        <v>4.2544636542043346</v>
      </c>
      <c r="O99" s="2">
        <f t="shared" si="17"/>
        <v>35482226876.064148</v>
      </c>
      <c r="Q99">
        <v>0.91</v>
      </c>
      <c r="R99" s="2">
        <f t="shared" si="18"/>
        <v>12.15422387387949</v>
      </c>
      <c r="S99" s="2">
        <f t="shared" si="19"/>
        <v>101366227108.15494</v>
      </c>
    </row>
    <row r="100" spans="1:19" x14ac:dyDescent="0.25">
      <c r="A100">
        <v>0.92</v>
      </c>
      <c r="B100" s="2">
        <f t="shared" si="10"/>
        <v>1.7161474324713898E-3</v>
      </c>
      <c r="C100" s="2">
        <f t="shared" si="11"/>
        <v>14312669.586811392</v>
      </c>
      <c r="E100">
        <v>0.92</v>
      </c>
      <c r="F100" s="2">
        <f t="shared" si="12"/>
        <v>0.21087041741244372</v>
      </c>
      <c r="G100" s="2">
        <f t="shared" si="13"/>
        <v>1758659281.2197807</v>
      </c>
      <c r="I100">
        <v>0.92</v>
      </c>
      <c r="J100" s="2">
        <f t="shared" si="14"/>
        <v>1.0483412595297055</v>
      </c>
      <c r="K100" s="2">
        <f t="shared" si="15"/>
        <v>8743166104.4777431</v>
      </c>
      <c r="M100">
        <v>0.92</v>
      </c>
      <c r="N100" s="2">
        <f t="shared" si="16"/>
        <v>3.7817454704038531</v>
      </c>
      <c r="O100" s="2">
        <f t="shared" si="17"/>
        <v>31539757223.168137</v>
      </c>
      <c r="Q100">
        <v>0.92</v>
      </c>
      <c r="R100" s="2">
        <f t="shared" si="18"/>
        <v>10.803754554559546</v>
      </c>
      <c r="S100" s="2">
        <f t="shared" si="19"/>
        <v>90103312985.026611</v>
      </c>
    </row>
    <row r="101" spans="1:19" x14ac:dyDescent="0.25">
      <c r="A101">
        <v>0.93</v>
      </c>
      <c r="B101" s="2">
        <f t="shared" si="10"/>
        <v>1.5016290034124656E-3</v>
      </c>
      <c r="C101" s="2">
        <f t="shared" si="11"/>
        <v>12523585.888459964</v>
      </c>
      <c r="E101">
        <v>0.93</v>
      </c>
      <c r="F101" s="2">
        <f t="shared" si="12"/>
        <v>0.18451161523588822</v>
      </c>
      <c r="G101" s="2">
        <f t="shared" si="13"/>
        <v>1538826871.0673077</v>
      </c>
      <c r="I101">
        <v>0.93</v>
      </c>
      <c r="J101" s="2">
        <f t="shared" si="14"/>
        <v>0.91729860208849212</v>
      </c>
      <c r="K101" s="2">
        <f t="shared" si="15"/>
        <v>7650270341.4180241</v>
      </c>
      <c r="M101">
        <v>0.93</v>
      </c>
      <c r="N101" s="2">
        <f t="shared" si="16"/>
        <v>3.3090272866033703</v>
      </c>
      <c r="O101" s="2">
        <f t="shared" si="17"/>
        <v>27597287570.272106</v>
      </c>
      <c r="Q101">
        <v>0.93</v>
      </c>
      <c r="R101" s="2">
        <f t="shared" si="18"/>
        <v>9.4532852352396013</v>
      </c>
      <c r="S101" s="2">
        <f t="shared" si="19"/>
        <v>78840398861.89827</v>
      </c>
    </row>
    <row r="102" spans="1:19" x14ac:dyDescent="0.25">
      <c r="A102">
        <v>0.94</v>
      </c>
      <c r="B102" s="2">
        <f t="shared" si="10"/>
        <v>1.2871105743535438E-3</v>
      </c>
      <c r="C102" s="2">
        <f t="shared" si="11"/>
        <v>10734502.190108556</v>
      </c>
      <c r="E102">
        <v>0.94</v>
      </c>
      <c r="F102" s="2">
        <f t="shared" si="12"/>
        <v>0.15815281305933299</v>
      </c>
      <c r="G102" s="2">
        <f t="shared" si="13"/>
        <v>1318994460.9148371</v>
      </c>
      <c r="I102">
        <v>0.94</v>
      </c>
      <c r="J102" s="2">
        <f t="shared" si="14"/>
        <v>0.7862559446472801</v>
      </c>
      <c r="K102" s="2">
        <f t="shared" si="15"/>
        <v>6557374578.3583155</v>
      </c>
      <c r="M102">
        <v>0.94</v>
      </c>
      <c r="N102" s="2">
        <f t="shared" si="16"/>
        <v>2.8363091028028933</v>
      </c>
      <c r="O102" s="2">
        <f t="shared" si="17"/>
        <v>23654817917.376129</v>
      </c>
      <c r="Q102">
        <v>0.94</v>
      </c>
      <c r="R102" s="2">
        <f t="shared" si="18"/>
        <v>8.1028159159196687</v>
      </c>
      <c r="S102" s="2">
        <f t="shared" si="19"/>
        <v>67577484738.770035</v>
      </c>
    </row>
    <row r="103" spans="1:19" x14ac:dyDescent="0.25">
      <c r="A103">
        <v>0.95</v>
      </c>
      <c r="B103" s="2">
        <f t="shared" si="10"/>
        <v>1.0725921452946199E-3</v>
      </c>
      <c r="C103" s="2">
        <f t="shared" si="11"/>
        <v>8945418.4917571303</v>
      </c>
      <c r="E103">
        <v>0.95</v>
      </c>
      <c r="F103" s="2">
        <f t="shared" si="12"/>
        <v>0.13179401088277751</v>
      </c>
      <c r="G103" s="2">
        <f t="shared" si="13"/>
        <v>1099162050.7623644</v>
      </c>
      <c r="I103">
        <v>0.95</v>
      </c>
      <c r="J103" s="2">
        <f t="shared" si="14"/>
        <v>0.65521328720606675</v>
      </c>
      <c r="K103" s="2">
        <f t="shared" si="15"/>
        <v>5464478815.2985964</v>
      </c>
      <c r="M103">
        <v>0.95</v>
      </c>
      <c r="N103" s="2">
        <f t="shared" si="16"/>
        <v>2.3635909190024109</v>
      </c>
      <c r="O103" s="2">
        <f t="shared" si="17"/>
        <v>19712348264.480106</v>
      </c>
      <c r="Q103">
        <v>0.95</v>
      </c>
      <c r="R103" s="2">
        <f t="shared" si="18"/>
        <v>6.7523465965997245</v>
      </c>
      <c r="S103" s="2">
        <f t="shared" si="19"/>
        <v>56314570615.641701</v>
      </c>
    </row>
    <row r="104" spans="1:19" x14ac:dyDescent="0.25">
      <c r="A104">
        <v>0.96</v>
      </c>
      <c r="B104" s="2">
        <f t="shared" si="10"/>
        <v>8.5807371623569607E-4</v>
      </c>
      <c r="C104" s="2">
        <f t="shared" si="11"/>
        <v>7156334.7934057051</v>
      </c>
      <c r="E104">
        <v>0.96</v>
      </c>
      <c r="F104" s="2">
        <f t="shared" si="12"/>
        <v>0.10543520870622201</v>
      </c>
      <c r="G104" s="2">
        <f t="shared" si="13"/>
        <v>879329640.60989153</v>
      </c>
      <c r="I104">
        <v>0.96</v>
      </c>
      <c r="J104" s="2">
        <f t="shared" si="14"/>
        <v>0.52417062976485351</v>
      </c>
      <c r="K104" s="2">
        <f t="shared" si="15"/>
        <v>4371583052.2388783</v>
      </c>
      <c r="M104">
        <v>0.96</v>
      </c>
      <c r="N104" s="2">
        <f t="shared" si="16"/>
        <v>1.890872735201929</v>
      </c>
      <c r="O104" s="2">
        <f t="shared" si="17"/>
        <v>15769878611.584087</v>
      </c>
      <c r="Q104">
        <v>0.96</v>
      </c>
      <c r="R104" s="2">
        <f t="shared" si="18"/>
        <v>5.4018772772797803</v>
      </c>
      <c r="S104" s="2">
        <f t="shared" si="19"/>
        <v>45051656492.513367</v>
      </c>
    </row>
    <row r="105" spans="1:19" x14ac:dyDescent="0.25">
      <c r="A105">
        <v>0.97</v>
      </c>
      <c r="B105" s="2">
        <f t="shared" si="10"/>
        <v>6.4355528717677192E-4</v>
      </c>
      <c r="C105" s="2">
        <f t="shared" si="11"/>
        <v>5367251.0950542782</v>
      </c>
      <c r="E105">
        <v>0.97</v>
      </c>
      <c r="F105" s="2">
        <f t="shared" si="12"/>
        <v>7.9076406529666493E-2</v>
      </c>
      <c r="G105" s="2">
        <f t="shared" si="13"/>
        <v>659497230.45741856</v>
      </c>
      <c r="I105">
        <v>0.97</v>
      </c>
      <c r="J105" s="2">
        <f t="shared" si="14"/>
        <v>0.39312797232364005</v>
      </c>
      <c r="K105" s="2">
        <f t="shared" si="15"/>
        <v>3278687289.1791577</v>
      </c>
      <c r="M105">
        <v>0.97</v>
      </c>
      <c r="N105" s="2">
        <f t="shared" si="16"/>
        <v>1.4181545514014466</v>
      </c>
      <c r="O105" s="2">
        <f t="shared" si="17"/>
        <v>11827408958.688065</v>
      </c>
      <c r="Q105">
        <v>0.97</v>
      </c>
      <c r="R105" s="2">
        <f t="shared" si="18"/>
        <v>4.0514079579598343</v>
      </c>
      <c r="S105" s="2">
        <f t="shared" si="19"/>
        <v>33788742369.385017</v>
      </c>
    </row>
    <row r="106" spans="1:19" x14ac:dyDescent="0.25">
      <c r="A106">
        <v>0.98</v>
      </c>
      <c r="B106" s="2">
        <f t="shared" si="10"/>
        <v>4.2903685811784804E-4</v>
      </c>
      <c r="C106" s="2">
        <f t="shared" si="11"/>
        <v>3578167.3967028526</v>
      </c>
      <c r="E106">
        <v>0.98</v>
      </c>
      <c r="F106" s="2">
        <f t="shared" si="12"/>
        <v>5.2717604353111007E-2</v>
      </c>
      <c r="G106" s="2">
        <f t="shared" si="13"/>
        <v>439664820.30494577</v>
      </c>
      <c r="I106">
        <v>0.98</v>
      </c>
      <c r="J106" s="2">
        <f t="shared" si="14"/>
        <v>0.26208531488242676</v>
      </c>
      <c r="K106" s="2">
        <f t="shared" si="15"/>
        <v>2185791526.1194391</v>
      </c>
      <c r="M106">
        <v>0.98</v>
      </c>
      <c r="N106" s="2">
        <f t="shared" si="16"/>
        <v>0.9454363676009645</v>
      </c>
      <c r="O106" s="2">
        <f t="shared" si="17"/>
        <v>7884939305.7920437</v>
      </c>
      <c r="Q106">
        <v>0.98</v>
      </c>
      <c r="R106" s="2">
        <f t="shared" si="18"/>
        <v>2.7009386386398901</v>
      </c>
      <c r="S106" s="2">
        <f t="shared" si="19"/>
        <v>22525828246.256683</v>
      </c>
    </row>
    <row r="107" spans="1:19" x14ac:dyDescent="0.25">
      <c r="A107">
        <v>0.99</v>
      </c>
      <c r="B107" s="2">
        <f t="shared" si="10"/>
        <v>2.1451842905892402E-4</v>
      </c>
      <c r="C107" s="2">
        <f t="shared" si="11"/>
        <v>1789083.6983514263</v>
      </c>
      <c r="E107">
        <v>0.99</v>
      </c>
      <c r="F107" s="2">
        <f t="shared" si="12"/>
        <v>2.6358802176555503E-2</v>
      </c>
      <c r="G107" s="2">
        <f t="shared" si="13"/>
        <v>219832410.15247288</v>
      </c>
      <c r="I107">
        <v>0.99</v>
      </c>
      <c r="J107" s="2">
        <f t="shared" si="14"/>
        <v>0.13104265744121338</v>
      </c>
      <c r="K107" s="2">
        <f t="shared" si="15"/>
        <v>1092895763.0597196</v>
      </c>
      <c r="M107">
        <v>0.99</v>
      </c>
      <c r="N107" s="2">
        <f t="shared" si="16"/>
        <v>0.47271818380048225</v>
      </c>
      <c r="O107" s="2">
        <f t="shared" si="17"/>
        <v>3942469652.8960218</v>
      </c>
      <c r="Q107">
        <v>0.99</v>
      </c>
      <c r="R107" s="2">
        <f t="shared" si="18"/>
        <v>1.3504693193199451</v>
      </c>
      <c r="S107" s="2">
        <f t="shared" si="19"/>
        <v>11262914123.128342</v>
      </c>
    </row>
    <row r="108" spans="1:19" x14ac:dyDescent="0.25">
      <c r="A108">
        <v>1</v>
      </c>
      <c r="B108" s="2">
        <f t="shared" si="10"/>
        <v>0</v>
      </c>
      <c r="C108" s="2">
        <f t="shared" si="11"/>
        <v>0</v>
      </c>
      <c r="E108">
        <v>1</v>
      </c>
      <c r="F108" s="2">
        <f t="shared" si="12"/>
        <v>0</v>
      </c>
      <c r="G108" s="2">
        <f t="shared" si="13"/>
        <v>0</v>
      </c>
      <c r="I108">
        <v>1</v>
      </c>
      <c r="J108" s="2">
        <f t="shared" si="14"/>
        <v>0</v>
      </c>
      <c r="K108" s="2">
        <f t="shared" si="15"/>
        <v>0</v>
      </c>
      <c r="M108">
        <v>1</v>
      </c>
      <c r="N108" s="2">
        <f t="shared" si="16"/>
        <v>0</v>
      </c>
      <c r="O108" s="2">
        <f t="shared" si="17"/>
        <v>0</v>
      </c>
      <c r="Q108">
        <v>1</v>
      </c>
      <c r="R108" s="2">
        <f t="shared" si="18"/>
        <v>0</v>
      </c>
      <c r="S108" s="2">
        <f t="shared" si="19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88EC-3268-404A-8733-94DAF537670F}">
  <sheetPr codeName="Sheet10"/>
  <dimension ref="A1:O87"/>
  <sheetViews>
    <sheetView workbookViewId="0">
      <selection activeCell="C42" sqref="C42"/>
    </sheetView>
  </sheetViews>
  <sheetFormatPr defaultRowHeight="15" x14ac:dyDescent="0.25"/>
  <cols>
    <col min="1" max="1" width="10.7109375" customWidth="1"/>
    <col min="4" max="4" width="14.85546875" bestFit="1" customWidth="1"/>
    <col min="7" max="7" width="10.85546875" bestFit="1" customWidth="1"/>
    <col min="9" max="9" width="11.85546875" bestFit="1" customWidth="1"/>
    <col min="12" max="12" width="14.7109375" bestFit="1" customWidth="1"/>
    <col min="13" max="14" width="14.7109375" customWidth="1"/>
    <col min="15" max="15" width="79.85546875" customWidth="1"/>
  </cols>
  <sheetData>
    <row r="1" spans="1:15" x14ac:dyDescent="0.25">
      <c r="B1" t="s">
        <v>7</v>
      </c>
      <c r="C1" s="8"/>
      <c r="I1" s="3"/>
      <c r="J1" t="s">
        <v>8</v>
      </c>
      <c r="N1" t="s">
        <v>69</v>
      </c>
    </row>
    <row r="2" spans="1:15" x14ac:dyDescent="0.25">
      <c r="A2" s="3" t="s">
        <v>0</v>
      </c>
      <c r="B2" s="8" t="s">
        <v>38</v>
      </c>
      <c r="C2" s="8" t="s">
        <v>39</v>
      </c>
      <c r="D2" t="s">
        <v>1</v>
      </c>
      <c r="E2" t="s">
        <v>2</v>
      </c>
      <c r="F2" t="s">
        <v>5</v>
      </c>
      <c r="G2" t="s">
        <v>3</v>
      </c>
      <c r="H2" t="s">
        <v>4</v>
      </c>
      <c r="I2" s="3" t="s">
        <v>19</v>
      </c>
      <c r="J2" s="4" t="s">
        <v>9</v>
      </c>
      <c r="K2" s="4" t="s">
        <v>10</v>
      </c>
      <c r="L2" s="4" t="s">
        <v>36</v>
      </c>
      <c r="M2" s="4" t="s">
        <v>40</v>
      </c>
      <c r="N2" s="4" t="s">
        <v>65</v>
      </c>
      <c r="O2" t="s">
        <v>21</v>
      </c>
    </row>
    <row r="3" spans="1:15" x14ac:dyDescent="0.25">
      <c r="A3" s="3" t="s">
        <v>32</v>
      </c>
      <c r="B3" s="8">
        <v>101</v>
      </c>
      <c r="C3" s="8">
        <v>601</v>
      </c>
      <c r="D3">
        <v>400</v>
      </c>
      <c r="E3">
        <v>800</v>
      </c>
      <c r="F3" t="s">
        <v>6</v>
      </c>
      <c r="G3">
        <v>70</v>
      </c>
      <c r="H3" s="2">
        <v>4890000</v>
      </c>
      <c r="I3" s="3">
        <v>63</v>
      </c>
      <c r="J3" s="4">
        <v>9.6000000000000002E-2</v>
      </c>
      <c r="K3" s="4">
        <v>0</v>
      </c>
      <c r="L3" s="4">
        <v>400</v>
      </c>
      <c r="M3" s="4"/>
      <c r="N3" s="4"/>
      <c r="O3" t="s">
        <v>56</v>
      </c>
    </row>
    <row r="4" spans="1:15" x14ac:dyDescent="0.25">
      <c r="A4" s="6" t="s">
        <v>35</v>
      </c>
      <c r="B4" s="8">
        <v>101</v>
      </c>
      <c r="C4" s="8">
        <v>601</v>
      </c>
      <c r="D4">
        <v>400</v>
      </c>
      <c r="E4">
        <v>800</v>
      </c>
      <c r="F4" t="s">
        <v>6</v>
      </c>
      <c r="G4">
        <v>48</v>
      </c>
      <c r="H4" s="2">
        <v>4890000</v>
      </c>
      <c r="I4" s="3">
        <v>63</v>
      </c>
      <c r="J4" s="4">
        <v>4.4999999999999998E-2</v>
      </c>
      <c r="K4" s="4">
        <v>0</v>
      </c>
      <c r="L4" s="4">
        <v>368</v>
      </c>
      <c r="M4" s="4"/>
      <c r="N4" s="4"/>
      <c r="O4" t="s">
        <v>56</v>
      </c>
    </row>
    <row r="5" spans="1:15" x14ac:dyDescent="0.25">
      <c r="A5" s="6" t="s">
        <v>33</v>
      </c>
      <c r="B5" s="8">
        <v>101</v>
      </c>
      <c r="C5" s="8">
        <v>601</v>
      </c>
      <c r="D5">
        <v>400</v>
      </c>
      <c r="E5">
        <v>900</v>
      </c>
      <c r="F5" t="s">
        <v>6</v>
      </c>
      <c r="G5">
        <v>70</v>
      </c>
      <c r="H5" s="2">
        <v>4890000</v>
      </c>
      <c r="I5" s="3">
        <v>63</v>
      </c>
      <c r="J5" s="4">
        <v>0.13</v>
      </c>
      <c r="K5" s="4">
        <v>0</v>
      </c>
      <c r="L5" s="4">
        <v>460</v>
      </c>
      <c r="M5" s="4"/>
      <c r="N5" s="4"/>
      <c r="O5" t="s">
        <v>56</v>
      </c>
    </row>
    <row r="6" spans="1:15" x14ac:dyDescent="0.25">
      <c r="A6" s="6" t="s">
        <v>34</v>
      </c>
      <c r="B6" s="8">
        <v>101</v>
      </c>
      <c r="C6" s="8">
        <v>601</v>
      </c>
      <c r="D6">
        <v>400</v>
      </c>
      <c r="E6">
        <v>1000</v>
      </c>
      <c r="F6" t="s">
        <v>6</v>
      </c>
      <c r="G6">
        <v>70</v>
      </c>
      <c r="H6" s="2">
        <v>4890000</v>
      </c>
      <c r="I6" s="3">
        <v>63</v>
      </c>
      <c r="J6" s="4">
        <v>0.15</v>
      </c>
      <c r="K6" s="4">
        <v>0</v>
      </c>
      <c r="L6" s="4">
        <v>500</v>
      </c>
      <c r="M6" s="4"/>
      <c r="N6" s="4"/>
      <c r="O6" t="s">
        <v>56</v>
      </c>
    </row>
    <row r="7" spans="1:15" x14ac:dyDescent="0.25">
      <c r="A7" s="3" t="s">
        <v>31</v>
      </c>
      <c r="B7" s="8">
        <v>101</v>
      </c>
      <c r="C7" s="8">
        <v>601</v>
      </c>
      <c r="D7">
        <v>400</v>
      </c>
      <c r="E7">
        <v>1200</v>
      </c>
      <c r="F7" t="s">
        <v>6</v>
      </c>
      <c r="G7">
        <v>78</v>
      </c>
      <c r="H7" s="2">
        <v>4890000</v>
      </c>
      <c r="I7" s="3">
        <v>63</v>
      </c>
      <c r="J7" s="4">
        <v>0.22</v>
      </c>
      <c r="K7" s="4">
        <v>0</v>
      </c>
      <c r="L7" s="4">
        <v>640</v>
      </c>
      <c r="M7" s="4"/>
      <c r="N7" s="4"/>
      <c r="O7" t="s">
        <v>56</v>
      </c>
    </row>
    <row r="8" spans="1:15" x14ac:dyDescent="0.25">
      <c r="A8" s="3" t="s">
        <v>18</v>
      </c>
      <c r="B8" s="8">
        <v>101</v>
      </c>
      <c r="C8" s="8">
        <v>601</v>
      </c>
      <c r="D8">
        <v>200</v>
      </c>
      <c r="E8" s="1">
        <v>1200</v>
      </c>
      <c r="F8" t="s">
        <v>6</v>
      </c>
      <c r="G8">
        <v>48</v>
      </c>
      <c r="H8" s="2">
        <v>4890000</v>
      </c>
      <c r="I8" s="3">
        <v>63</v>
      </c>
      <c r="J8" s="1">
        <v>0.4</v>
      </c>
      <c r="K8" s="4">
        <v>1.7</v>
      </c>
      <c r="L8">
        <v>2500</v>
      </c>
      <c r="O8" t="s">
        <v>56</v>
      </c>
    </row>
    <row r="9" spans="1:15" x14ac:dyDescent="0.25">
      <c r="A9" s="3" t="s">
        <v>20</v>
      </c>
      <c r="B9" s="8">
        <v>101</v>
      </c>
      <c r="C9" s="8">
        <v>601</v>
      </c>
      <c r="D9">
        <v>200</v>
      </c>
      <c r="E9" s="1">
        <v>1200</v>
      </c>
      <c r="F9" t="s">
        <v>6</v>
      </c>
      <c r="G9">
        <v>48</v>
      </c>
      <c r="H9" s="2">
        <v>4890000</v>
      </c>
      <c r="I9" s="7">
        <v>4.07</v>
      </c>
      <c r="J9">
        <v>0.22</v>
      </c>
      <c r="K9">
        <v>5.2</v>
      </c>
      <c r="L9">
        <v>9000</v>
      </c>
      <c r="O9" t="s">
        <v>55</v>
      </c>
    </row>
    <row r="10" spans="1:15" x14ac:dyDescent="0.25">
      <c r="A10" s="10" t="s">
        <v>30</v>
      </c>
      <c r="B10" s="11">
        <v>101</v>
      </c>
      <c r="C10" s="11">
        <v>601</v>
      </c>
      <c r="D10" s="12">
        <v>400</v>
      </c>
      <c r="E10" s="12">
        <v>1200</v>
      </c>
      <c r="F10" s="12" t="s">
        <v>6</v>
      </c>
      <c r="G10" s="12">
        <v>70</v>
      </c>
      <c r="H10" s="13">
        <v>4890000</v>
      </c>
      <c r="I10" s="10">
        <v>63</v>
      </c>
      <c r="J10" s="11">
        <v>0.17</v>
      </c>
      <c r="K10" s="11">
        <v>6.9</v>
      </c>
      <c r="L10" s="11">
        <v>20000</v>
      </c>
      <c r="M10" s="4"/>
      <c r="N10" s="4"/>
      <c r="O10" t="s">
        <v>56</v>
      </c>
    </row>
    <row r="11" spans="1:15" x14ac:dyDescent="0.25">
      <c r="A11" s="3" t="s">
        <v>22</v>
      </c>
      <c r="B11" s="8">
        <v>101</v>
      </c>
      <c r="C11" s="8">
        <v>601</v>
      </c>
      <c r="D11">
        <v>400</v>
      </c>
      <c r="E11" s="1" t="s">
        <v>6</v>
      </c>
      <c r="F11">
        <v>0.999</v>
      </c>
      <c r="G11">
        <v>70</v>
      </c>
      <c r="H11" s="2">
        <v>4890000</v>
      </c>
      <c r="I11" s="3">
        <v>63</v>
      </c>
      <c r="J11" s="4">
        <v>0.18</v>
      </c>
      <c r="K11" s="4">
        <v>7</v>
      </c>
      <c r="L11" s="4">
        <v>20000</v>
      </c>
      <c r="M11" s="4"/>
      <c r="N11" s="4"/>
      <c r="O11" t="s">
        <v>56</v>
      </c>
    </row>
    <row r="12" spans="1:15" x14ac:dyDescent="0.25">
      <c r="A12" s="3" t="s">
        <v>23</v>
      </c>
      <c r="B12" s="8">
        <v>101</v>
      </c>
      <c r="C12" s="8">
        <v>601</v>
      </c>
      <c r="D12">
        <v>400</v>
      </c>
      <c r="E12" s="1" t="s">
        <v>6</v>
      </c>
      <c r="F12">
        <v>0.9</v>
      </c>
      <c r="G12">
        <v>70</v>
      </c>
      <c r="H12" s="2">
        <v>4890000</v>
      </c>
      <c r="I12" s="3">
        <v>63</v>
      </c>
      <c r="J12" s="4">
        <v>0.18</v>
      </c>
      <c r="K12" s="4">
        <v>7</v>
      </c>
      <c r="L12" s="4">
        <v>20000</v>
      </c>
      <c r="M12" s="4"/>
      <c r="N12" s="4"/>
      <c r="O12" t="s">
        <v>56</v>
      </c>
    </row>
    <row r="13" spans="1:15" x14ac:dyDescent="0.25">
      <c r="A13" s="3" t="s">
        <v>24</v>
      </c>
      <c r="B13" s="8">
        <v>101</v>
      </c>
      <c r="C13" s="8">
        <v>601</v>
      </c>
      <c r="D13">
        <v>400</v>
      </c>
      <c r="E13" s="1" t="s">
        <v>6</v>
      </c>
      <c r="F13">
        <v>0.8</v>
      </c>
      <c r="G13">
        <v>70</v>
      </c>
      <c r="H13" s="2">
        <v>4890000</v>
      </c>
      <c r="I13" s="3">
        <v>63</v>
      </c>
      <c r="J13" s="4">
        <v>0.18</v>
      </c>
      <c r="K13" s="4">
        <v>7</v>
      </c>
      <c r="L13" s="4">
        <v>20000</v>
      </c>
      <c r="M13" s="4"/>
      <c r="N13" s="4"/>
      <c r="O13" t="s">
        <v>56</v>
      </c>
    </row>
    <row r="14" spans="1:15" x14ac:dyDescent="0.25">
      <c r="A14" s="3" t="s">
        <v>25</v>
      </c>
      <c r="B14" s="8">
        <v>101</v>
      </c>
      <c r="C14" s="8">
        <v>601</v>
      </c>
      <c r="D14">
        <v>400</v>
      </c>
      <c r="E14" s="1" t="s">
        <v>6</v>
      </c>
      <c r="F14">
        <v>0.7</v>
      </c>
      <c r="G14">
        <v>70</v>
      </c>
      <c r="H14" s="2">
        <v>4890000</v>
      </c>
      <c r="I14" s="3">
        <v>63</v>
      </c>
      <c r="J14" s="4">
        <v>0.18</v>
      </c>
      <c r="K14" s="4">
        <v>7</v>
      </c>
      <c r="L14" s="4">
        <v>20000</v>
      </c>
      <c r="M14" s="4"/>
      <c r="N14" s="4"/>
      <c r="O14" t="s">
        <v>56</v>
      </c>
    </row>
    <row r="15" spans="1:15" x14ac:dyDescent="0.25">
      <c r="A15" s="3" t="s">
        <v>26</v>
      </c>
      <c r="B15" s="8">
        <v>101</v>
      </c>
      <c r="C15" s="8">
        <v>601</v>
      </c>
      <c r="D15">
        <v>400</v>
      </c>
      <c r="E15" s="1" t="s">
        <v>6</v>
      </c>
      <c r="F15">
        <v>0.5</v>
      </c>
      <c r="G15">
        <v>70</v>
      </c>
      <c r="H15" s="2">
        <v>4890000</v>
      </c>
      <c r="I15" s="3">
        <v>63</v>
      </c>
      <c r="J15" s="4">
        <v>0.18</v>
      </c>
      <c r="K15" s="4">
        <v>7</v>
      </c>
      <c r="L15" s="4">
        <v>20000</v>
      </c>
      <c r="M15" s="4"/>
      <c r="N15" s="4"/>
      <c r="O15" t="s">
        <v>56</v>
      </c>
    </row>
    <row r="16" spans="1:15" x14ac:dyDescent="0.25">
      <c r="A16" s="3" t="s">
        <v>28</v>
      </c>
      <c r="B16" s="8">
        <v>101</v>
      </c>
      <c r="C16" s="8">
        <v>601</v>
      </c>
      <c r="D16">
        <v>200</v>
      </c>
      <c r="E16">
        <v>1200</v>
      </c>
      <c r="F16" s="1" t="s">
        <v>6</v>
      </c>
      <c r="G16">
        <v>70</v>
      </c>
      <c r="H16" s="2">
        <v>4890000</v>
      </c>
      <c r="I16" s="3">
        <v>63</v>
      </c>
      <c r="J16" s="4">
        <v>0.54</v>
      </c>
      <c r="K16" s="4">
        <v>7</v>
      </c>
      <c r="L16" s="4">
        <v>20000</v>
      </c>
      <c r="M16" s="4"/>
      <c r="N16" s="4"/>
      <c r="O16" t="s">
        <v>56</v>
      </c>
    </row>
    <row r="17" spans="1:15" x14ac:dyDescent="0.25">
      <c r="A17" s="3" t="s">
        <v>29</v>
      </c>
      <c r="B17" s="8">
        <v>101</v>
      </c>
      <c r="C17" s="8">
        <v>601</v>
      </c>
      <c r="D17">
        <v>400</v>
      </c>
      <c r="E17">
        <v>1200</v>
      </c>
      <c r="F17" s="1" t="s">
        <v>6</v>
      </c>
      <c r="G17">
        <v>48</v>
      </c>
      <c r="H17" s="2">
        <v>4890000</v>
      </c>
      <c r="I17" s="3">
        <v>63</v>
      </c>
      <c r="J17" s="4">
        <v>4.9000000000000002E-2</v>
      </c>
      <c r="K17" s="4">
        <v>8.6999999999999993</v>
      </c>
      <c r="L17" s="4">
        <v>21000</v>
      </c>
      <c r="M17" s="4"/>
      <c r="N17" s="4"/>
      <c r="O17" t="s">
        <v>56</v>
      </c>
    </row>
    <row r="18" spans="1:15" x14ac:dyDescent="0.25">
      <c r="A18" s="3" t="s">
        <v>27</v>
      </c>
      <c r="B18" s="8">
        <v>101</v>
      </c>
      <c r="C18" s="8">
        <v>601</v>
      </c>
      <c r="D18">
        <v>200</v>
      </c>
      <c r="E18">
        <v>1200</v>
      </c>
      <c r="F18" s="1" t="s">
        <v>6</v>
      </c>
      <c r="G18">
        <v>48</v>
      </c>
      <c r="H18" s="2">
        <v>4890000</v>
      </c>
      <c r="I18" s="3">
        <v>63</v>
      </c>
      <c r="J18" s="4">
        <v>0.15</v>
      </c>
      <c r="K18" s="4">
        <v>9.1999999999999993</v>
      </c>
      <c r="L18" s="4">
        <v>20000</v>
      </c>
      <c r="M18" s="4"/>
      <c r="N18" s="4"/>
      <c r="O18" t="s">
        <v>56</v>
      </c>
    </row>
    <row r="19" spans="1:15" x14ac:dyDescent="0.25">
      <c r="A19" s="6" t="s">
        <v>37</v>
      </c>
      <c r="B19" s="4">
        <v>101</v>
      </c>
      <c r="C19" s="4">
        <v>1201</v>
      </c>
      <c r="D19">
        <v>400</v>
      </c>
      <c r="E19">
        <v>1200</v>
      </c>
      <c r="F19" s="1" t="s">
        <v>6</v>
      </c>
      <c r="G19">
        <v>48</v>
      </c>
      <c r="H19" s="2">
        <v>4890000</v>
      </c>
      <c r="I19" s="3">
        <v>63</v>
      </c>
      <c r="J19" s="4">
        <v>5.3999999999999999E-2</v>
      </c>
      <c r="K19" s="4">
        <v>8.1</v>
      </c>
      <c r="L19" s="4">
        <v>20000</v>
      </c>
      <c r="M19" s="4"/>
      <c r="N19" s="4"/>
      <c r="O19" t="s">
        <v>56</v>
      </c>
    </row>
    <row r="20" spans="1:15" x14ac:dyDescent="0.25">
      <c r="A20" s="6" t="s">
        <v>41</v>
      </c>
      <c r="B20" s="4">
        <v>101</v>
      </c>
      <c r="C20" s="4">
        <v>601</v>
      </c>
      <c r="D20">
        <v>400</v>
      </c>
      <c r="E20">
        <v>1200</v>
      </c>
      <c r="F20" s="1" t="s">
        <v>6</v>
      </c>
      <c r="G20">
        <v>70</v>
      </c>
      <c r="H20" s="2">
        <v>489000</v>
      </c>
      <c r="I20" s="3">
        <v>63</v>
      </c>
      <c r="J20" s="4">
        <v>0.3</v>
      </c>
      <c r="K20" s="4">
        <v>0</v>
      </c>
      <c r="L20" s="4">
        <v>700</v>
      </c>
      <c r="O20" t="s">
        <v>56</v>
      </c>
    </row>
    <row r="21" spans="1:15" x14ac:dyDescent="0.25">
      <c r="A21" s="6"/>
      <c r="B21" s="4">
        <v>101</v>
      </c>
      <c r="C21" s="4">
        <v>601</v>
      </c>
      <c r="D21">
        <v>400</v>
      </c>
      <c r="E21">
        <v>1200</v>
      </c>
      <c r="F21" s="1" t="s">
        <v>6</v>
      </c>
      <c r="G21">
        <v>70</v>
      </c>
      <c r="H21" s="2">
        <v>48900000</v>
      </c>
      <c r="I21" s="3">
        <v>63</v>
      </c>
      <c r="J21" t="s">
        <v>42</v>
      </c>
      <c r="K21" t="s">
        <v>42</v>
      </c>
      <c r="L21" t="s">
        <v>42</v>
      </c>
      <c r="O21" t="s">
        <v>56</v>
      </c>
    </row>
    <row r="22" spans="1:15" x14ac:dyDescent="0.25">
      <c r="A22" s="6"/>
      <c r="B22" s="4">
        <v>101</v>
      </c>
      <c r="C22" s="4">
        <v>601</v>
      </c>
      <c r="D22">
        <v>400</v>
      </c>
      <c r="E22">
        <v>1200</v>
      </c>
      <c r="F22" s="1" t="s">
        <v>6</v>
      </c>
      <c r="G22">
        <v>78</v>
      </c>
      <c r="H22" s="2">
        <v>48900000</v>
      </c>
      <c r="I22" s="3">
        <v>63</v>
      </c>
      <c r="J22" t="s">
        <v>42</v>
      </c>
      <c r="K22" t="s">
        <v>42</v>
      </c>
      <c r="L22" t="s">
        <v>42</v>
      </c>
      <c r="O22" t="s">
        <v>56</v>
      </c>
    </row>
    <row r="23" spans="1:15" x14ac:dyDescent="0.25">
      <c r="A23" s="6" t="s">
        <v>47</v>
      </c>
      <c r="B23" s="4">
        <v>101</v>
      </c>
      <c r="C23" s="4">
        <v>601</v>
      </c>
      <c r="D23">
        <v>400</v>
      </c>
      <c r="E23">
        <v>1200</v>
      </c>
      <c r="F23" s="1" t="s">
        <v>6</v>
      </c>
      <c r="G23">
        <v>70</v>
      </c>
      <c r="H23" s="2">
        <v>4890000</v>
      </c>
      <c r="I23" s="3">
        <v>6.3</v>
      </c>
      <c r="J23" s="4">
        <v>0.32</v>
      </c>
      <c r="K23" s="4">
        <v>0</v>
      </c>
      <c r="L23" s="4">
        <v>800</v>
      </c>
    </row>
    <row r="24" spans="1:15" x14ac:dyDescent="0.25">
      <c r="A24" s="6" t="s">
        <v>48</v>
      </c>
      <c r="B24" s="4">
        <v>101</v>
      </c>
      <c r="C24" s="4">
        <v>601</v>
      </c>
      <c r="D24">
        <v>400</v>
      </c>
      <c r="E24">
        <v>1200</v>
      </c>
      <c r="F24" s="1" t="s">
        <v>6</v>
      </c>
      <c r="G24">
        <v>70</v>
      </c>
      <c r="H24" s="2">
        <v>4890000</v>
      </c>
      <c r="I24" s="3">
        <v>53</v>
      </c>
      <c r="J24" s="4">
        <v>0.18</v>
      </c>
      <c r="K24" s="4">
        <v>0</v>
      </c>
      <c r="L24" s="4">
        <v>600</v>
      </c>
    </row>
    <row r="25" spans="1:15" x14ac:dyDescent="0.25">
      <c r="A25" s="6" t="s">
        <v>49</v>
      </c>
      <c r="B25" s="4">
        <v>101</v>
      </c>
      <c r="C25" s="4">
        <v>601</v>
      </c>
      <c r="D25">
        <v>400</v>
      </c>
      <c r="E25">
        <v>1200</v>
      </c>
      <c r="F25" s="1" t="s">
        <v>6</v>
      </c>
      <c r="G25">
        <v>48</v>
      </c>
      <c r="H25" s="2">
        <v>4890000</v>
      </c>
      <c r="I25" s="3">
        <v>53</v>
      </c>
      <c r="J25" s="4">
        <v>5.3999999999999999E-2</v>
      </c>
      <c r="K25" s="4">
        <v>7.5</v>
      </c>
      <c r="L25" s="4">
        <v>17500</v>
      </c>
    </row>
    <row r="26" spans="1:15" x14ac:dyDescent="0.25">
      <c r="A26" s="6" t="s">
        <v>50</v>
      </c>
      <c r="B26" s="4">
        <v>101</v>
      </c>
      <c r="C26" s="4">
        <v>601</v>
      </c>
      <c r="D26">
        <v>400</v>
      </c>
      <c r="E26">
        <v>1200</v>
      </c>
      <c r="F26" s="1" t="s">
        <v>6</v>
      </c>
      <c r="G26">
        <v>48</v>
      </c>
      <c r="H26" s="2">
        <v>4890000</v>
      </c>
      <c r="I26" s="3">
        <v>43</v>
      </c>
      <c r="J26" s="4">
        <v>5.8999999999999997E-2</v>
      </c>
      <c r="K26" s="4">
        <v>6.9</v>
      </c>
      <c r="L26" s="4">
        <v>14000</v>
      </c>
    </row>
    <row r="27" spans="1:15" x14ac:dyDescent="0.25">
      <c r="A27" s="6" t="s">
        <v>51</v>
      </c>
      <c r="B27" s="4"/>
      <c r="C27" s="4"/>
      <c r="I27" s="3"/>
    </row>
    <row r="28" spans="1:15" x14ac:dyDescent="0.25">
      <c r="A28" s="6" t="s">
        <v>52</v>
      </c>
      <c r="B28" s="4">
        <v>101</v>
      </c>
      <c r="C28" s="4">
        <v>601</v>
      </c>
      <c r="D28">
        <v>400</v>
      </c>
      <c r="E28">
        <v>1200</v>
      </c>
      <c r="F28" s="1" t="s">
        <v>6</v>
      </c>
      <c r="G28">
        <v>70</v>
      </c>
      <c r="H28" s="2">
        <v>4890000</v>
      </c>
      <c r="I28" s="3">
        <v>63</v>
      </c>
      <c r="J28" s="4">
        <v>0.17</v>
      </c>
      <c r="K28">
        <v>6.9</v>
      </c>
      <c r="L28">
        <v>17500</v>
      </c>
      <c r="O28" t="s">
        <v>56</v>
      </c>
    </row>
    <row r="29" spans="1:15" x14ac:dyDescent="0.25">
      <c r="A29" s="6" t="s">
        <v>53</v>
      </c>
      <c r="B29" s="4">
        <v>101</v>
      </c>
      <c r="C29" s="4">
        <v>601</v>
      </c>
      <c r="D29">
        <v>400</v>
      </c>
      <c r="E29">
        <v>1200</v>
      </c>
      <c r="F29" s="1" t="s">
        <v>6</v>
      </c>
      <c r="G29">
        <v>70</v>
      </c>
      <c r="H29" s="2">
        <v>4890000</v>
      </c>
      <c r="I29" s="3">
        <v>20.6</v>
      </c>
      <c r="J29" s="4">
        <v>0.24</v>
      </c>
      <c r="K29" s="4">
        <v>6.0000000000000001E-3</v>
      </c>
      <c r="L29" s="4">
        <v>700</v>
      </c>
      <c r="O29" t="s">
        <v>54</v>
      </c>
    </row>
    <row r="30" spans="1:15" x14ac:dyDescent="0.25">
      <c r="A30" s="6" t="s">
        <v>58</v>
      </c>
      <c r="B30" s="4">
        <v>101</v>
      </c>
      <c r="C30" s="4">
        <v>601</v>
      </c>
      <c r="D30">
        <v>400</v>
      </c>
      <c r="E30" s="1" t="s">
        <v>6</v>
      </c>
      <c r="F30">
        <v>0.7</v>
      </c>
      <c r="G30">
        <v>70</v>
      </c>
      <c r="H30" s="2">
        <v>4890000</v>
      </c>
      <c r="I30" s="3">
        <v>20.6</v>
      </c>
      <c r="J30" s="4">
        <v>0.27</v>
      </c>
      <c r="K30" s="4">
        <v>2.9</v>
      </c>
      <c r="L30" s="4">
        <v>7000</v>
      </c>
      <c r="O30" t="s">
        <v>54</v>
      </c>
    </row>
    <row r="31" spans="1:15" x14ac:dyDescent="0.25">
      <c r="A31" s="6" t="s">
        <v>59</v>
      </c>
      <c r="B31" s="4">
        <v>101</v>
      </c>
      <c r="C31" s="4">
        <v>601</v>
      </c>
      <c r="D31">
        <v>400</v>
      </c>
      <c r="E31" s="1" t="s">
        <v>6</v>
      </c>
      <c r="F31">
        <v>0.8</v>
      </c>
      <c r="G31">
        <v>70</v>
      </c>
      <c r="H31" s="2">
        <v>4890000</v>
      </c>
      <c r="I31" s="3">
        <v>20.6</v>
      </c>
      <c r="J31" s="4">
        <v>0.27</v>
      </c>
      <c r="K31" s="4">
        <v>2.9</v>
      </c>
      <c r="L31" s="4">
        <v>7000</v>
      </c>
      <c r="O31" t="s">
        <v>54</v>
      </c>
    </row>
    <row r="32" spans="1:15" x14ac:dyDescent="0.25">
      <c r="A32" s="6" t="s">
        <v>60</v>
      </c>
      <c r="B32" s="8">
        <v>101</v>
      </c>
      <c r="C32" s="8">
        <v>601</v>
      </c>
      <c r="D32">
        <v>400</v>
      </c>
      <c r="E32">
        <v>800</v>
      </c>
      <c r="F32" t="s">
        <v>6</v>
      </c>
      <c r="G32">
        <v>70</v>
      </c>
      <c r="H32" s="2">
        <v>4890000</v>
      </c>
      <c r="I32" s="3">
        <v>63</v>
      </c>
      <c r="J32" s="4">
        <v>9.6000000000000002E-2</v>
      </c>
      <c r="K32" s="4">
        <v>3.0000000000000001E-3</v>
      </c>
      <c r="L32" s="4">
        <v>400</v>
      </c>
      <c r="O32" t="s">
        <v>56</v>
      </c>
    </row>
    <row r="33" spans="1:15" x14ac:dyDescent="0.25">
      <c r="A33" s="6" t="s">
        <v>61</v>
      </c>
      <c r="B33" s="8">
        <v>101</v>
      </c>
      <c r="C33" s="8">
        <v>601</v>
      </c>
      <c r="D33">
        <v>400</v>
      </c>
      <c r="E33">
        <v>800</v>
      </c>
      <c r="F33" t="s">
        <v>6</v>
      </c>
      <c r="G33">
        <v>48</v>
      </c>
      <c r="H33" s="2">
        <v>4890000</v>
      </c>
      <c r="I33" s="3">
        <v>63</v>
      </c>
      <c r="J33" s="4">
        <v>4.4999999999999998E-2</v>
      </c>
      <c r="K33" s="4">
        <v>8.9999999999999993E-3</v>
      </c>
      <c r="L33" s="4">
        <v>368</v>
      </c>
      <c r="O33" t="s">
        <v>56</v>
      </c>
    </row>
    <row r="34" spans="1:15" x14ac:dyDescent="0.25">
      <c r="A34" s="6" t="s">
        <v>62</v>
      </c>
      <c r="B34" s="8">
        <v>101</v>
      </c>
      <c r="C34" s="8">
        <v>601</v>
      </c>
      <c r="D34">
        <v>400</v>
      </c>
      <c r="E34">
        <v>1200</v>
      </c>
      <c r="F34" s="1" t="s">
        <v>6</v>
      </c>
      <c r="G34">
        <v>48</v>
      </c>
      <c r="H34" s="2">
        <v>4890000</v>
      </c>
      <c r="I34" s="3">
        <v>63</v>
      </c>
      <c r="J34" s="4">
        <v>0.05</v>
      </c>
      <c r="K34" s="4">
        <v>8.8000000000000007</v>
      </c>
      <c r="L34" s="4">
        <v>20000</v>
      </c>
      <c r="O34" t="s">
        <v>56</v>
      </c>
    </row>
    <row r="35" spans="1:15" x14ac:dyDescent="0.25">
      <c r="A35" s="6" t="s">
        <v>63</v>
      </c>
      <c r="B35" s="8">
        <v>101</v>
      </c>
      <c r="C35" s="8">
        <v>601</v>
      </c>
      <c r="D35">
        <v>200</v>
      </c>
      <c r="E35">
        <v>1200</v>
      </c>
      <c r="F35" s="1" t="s">
        <v>6</v>
      </c>
      <c r="G35">
        <v>48</v>
      </c>
      <c r="H35" s="2">
        <v>4890000</v>
      </c>
      <c r="I35" s="3">
        <v>63</v>
      </c>
      <c r="J35" s="4">
        <v>0.15</v>
      </c>
      <c r="K35" s="4">
        <v>8.8000000000000007</v>
      </c>
      <c r="L35" s="4">
        <v>20000</v>
      </c>
      <c r="O35" t="s">
        <v>56</v>
      </c>
    </row>
    <row r="36" spans="1:15" x14ac:dyDescent="0.25">
      <c r="A36" s="6" t="s">
        <v>64</v>
      </c>
      <c r="B36" s="8">
        <v>101</v>
      </c>
      <c r="C36" s="8">
        <v>601</v>
      </c>
      <c r="D36">
        <v>400</v>
      </c>
      <c r="E36">
        <v>1200</v>
      </c>
      <c r="F36" s="1" t="s">
        <v>6</v>
      </c>
      <c r="G36">
        <v>48</v>
      </c>
      <c r="H36" s="2">
        <v>4890000</v>
      </c>
      <c r="I36" s="7">
        <v>4.07</v>
      </c>
      <c r="J36" s="4">
        <v>7.9000000000000001E-2</v>
      </c>
      <c r="K36">
        <v>4.9000000000000004</v>
      </c>
      <c r="L36" s="4">
        <v>8000</v>
      </c>
      <c r="O36" t="s">
        <v>55</v>
      </c>
    </row>
    <row r="37" spans="1:15" x14ac:dyDescent="0.25">
      <c r="A37" s="6" t="s">
        <v>66</v>
      </c>
      <c r="B37" s="8">
        <v>101</v>
      </c>
      <c r="C37" s="8">
        <v>601</v>
      </c>
      <c r="D37">
        <v>200</v>
      </c>
      <c r="E37">
        <v>1200</v>
      </c>
      <c r="F37" s="1" t="s">
        <v>6</v>
      </c>
      <c r="G37">
        <v>70</v>
      </c>
      <c r="H37" s="2">
        <v>4890000</v>
      </c>
      <c r="I37" s="3">
        <v>63</v>
      </c>
      <c r="J37" s="4">
        <v>0.54</v>
      </c>
      <c r="K37" s="4">
        <v>6.9</v>
      </c>
      <c r="L37" s="4">
        <v>17500</v>
      </c>
      <c r="N37" t="s">
        <v>68</v>
      </c>
    </row>
    <row r="38" spans="1:15" x14ac:dyDescent="0.25">
      <c r="A38" s="6" t="s">
        <v>67</v>
      </c>
      <c r="B38" s="8">
        <v>101</v>
      </c>
      <c r="C38" s="8">
        <v>601</v>
      </c>
      <c r="D38">
        <v>200</v>
      </c>
      <c r="E38">
        <v>1200</v>
      </c>
      <c r="F38" s="1" t="s">
        <v>6</v>
      </c>
      <c r="G38">
        <v>70</v>
      </c>
      <c r="H38" s="2">
        <v>4890000</v>
      </c>
      <c r="I38" s="3">
        <v>20.6</v>
      </c>
      <c r="J38" s="4">
        <v>0.77</v>
      </c>
      <c r="K38" s="4">
        <v>2.76</v>
      </c>
      <c r="L38" s="4">
        <v>6000</v>
      </c>
      <c r="N38" t="s">
        <v>70</v>
      </c>
    </row>
    <row r="39" spans="1:15" x14ac:dyDescent="0.25">
      <c r="A39" s="6" t="s">
        <v>71</v>
      </c>
      <c r="B39" s="8">
        <v>101</v>
      </c>
      <c r="C39" s="8">
        <v>601</v>
      </c>
      <c r="D39">
        <v>200</v>
      </c>
      <c r="E39">
        <v>1200</v>
      </c>
      <c r="F39" s="1" t="s">
        <v>6</v>
      </c>
      <c r="G39">
        <v>48</v>
      </c>
      <c r="H39" s="2">
        <v>4890000</v>
      </c>
      <c r="I39" s="3">
        <v>20.6</v>
      </c>
      <c r="J39" s="4">
        <v>0.23</v>
      </c>
      <c r="K39" s="4">
        <v>4.28</v>
      </c>
      <c r="L39" s="4">
        <v>6000</v>
      </c>
      <c r="N39" t="s">
        <v>72</v>
      </c>
    </row>
    <row r="40" spans="1:15" x14ac:dyDescent="0.25">
      <c r="A40" s="6"/>
      <c r="B40" s="4"/>
      <c r="C40" s="4"/>
      <c r="I40" s="3"/>
    </row>
    <row r="41" spans="1:15" x14ac:dyDescent="0.25">
      <c r="A41" s="6"/>
      <c r="B41" s="4"/>
      <c r="C41" s="4"/>
      <c r="I41" s="3"/>
    </row>
    <row r="42" spans="1:15" ht="28.5" x14ac:dyDescent="0.45">
      <c r="A42" s="6"/>
      <c r="B42" s="4"/>
      <c r="C42" s="26" t="s">
        <v>144</v>
      </c>
      <c r="I42" s="3"/>
    </row>
    <row r="43" spans="1:15" x14ac:dyDescent="0.25">
      <c r="A43" s="6"/>
      <c r="B43" s="4"/>
      <c r="C43" s="4"/>
      <c r="I43" s="3"/>
    </row>
    <row r="44" spans="1:15" x14ac:dyDescent="0.25">
      <c r="A44" s="6"/>
      <c r="B44" s="4"/>
      <c r="C44" s="4"/>
      <c r="I44" s="3"/>
    </row>
    <row r="45" spans="1:15" x14ac:dyDescent="0.25">
      <c r="A45" s="6"/>
      <c r="B45" s="4"/>
      <c r="C45" s="4"/>
      <c r="I45" s="3"/>
    </row>
    <row r="46" spans="1:15" x14ac:dyDescent="0.25">
      <c r="A46" s="6"/>
      <c r="B46" s="4"/>
      <c r="C46" s="4"/>
      <c r="I46" s="3"/>
    </row>
    <row r="47" spans="1:15" x14ac:dyDescent="0.25">
      <c r="A47" s="6"/>
      <c r="B47" s="4"/>
      <c r="C47" s="4"/>
      <c r="I47" s="3"/>
    </row>
    <row r="48" spans="1:15" x14ac:dyDescent="0.25">
      <c r="A48" s="6"/>
      <c r="B48" s="4"/>
      <c r="C48" s="4"/>
      <c r="I48" s="3"/>
    </row>
    <row r="49" spans="1:9" x14ac:dyDescent="0.25">
      <c r="A49" s="6"/>
      <c r="B49" s="4"/>
      <c r="C49" s="4"/>
      <c r="I49" s="3"/>
    </row>
    <row r="50" spans="1:9" x14ac:dyDescent="0.25">
      <c r="A50" s="6"/>
      <c r="B50" s="4"/>
      <c r="C50" s="4"/>
      <c r="I50" s="3"/>
    </row>
    <row r="51" spans="1:9" x14ac:dyDescent="0.25">
      <c r="A51" s="6"/>
      <c r="B51" s="4"/>
      <c r="C51" s="4"/>
      <c r="I51" s="3"/>
    </row>
    <row r="52" spans="1:9" x14ac:dyDescent="0.25">
      <c r="A52" s="6"/>
      <c r="B52" s="4"/>
      <c r="C52" s="4"/>
      <c r="I52" s="3"/>
    </row>
    <row r="53" spans="1:9" x14ac:dyDescent="0.25">
      <c r="A53" s="6"/>
      <c r="B53" s="4"/>
      <c r="C53" s="4"/>
      <c r="I53" s="3"/>
    </row>
    <row r="54" spans="1:9" x14ac:dyDescent="0.25">
      <c r="A54" s="6"/>
      <c r="B54" s="4"/>
      <c r="C54" s="4"/>
      <c r="I54" s="3"/>
    </row>
    <row r="55" spans="1:9" x14ac:dyDescent="0.25">
      <c r="A55" s="6"/>
      <c r="B55" s="4"/>
      <c r="C55" s="4"/>
      <c r="I55" s="3"/>
    </row>
    <row r="56" spans="1:9" x14ac:dyDescent="0.25">
      <c r="A56" s="6"/>
      <c r="B56" s="4"/>
      <c r="C56" s="4"/>
      <c r="I56" s="3"/>
    </row>
    <row r="57" spans="1:9" x14ac:dyDescent="0.25">
      <c r="A57" s="6"/>
      <c r="B57" s="4"/>
      <c r="C57" s="4"/>
      <c r="I57" s="3"/>
    </row>
    <row r="58" spans="1:9" x14ac:dyDescent="0.25">
      <c r="A58" s="6"/>
      <c r="B58" s="4"/>
      <c r="C58" s="4"/>
      <c r="I58" s="3"/>
    </row>
    <row r="59" spans="1:9" x14ac:dyDescent="0.25">
      <c r="A59" s="6"/>
      <c r="B59" s="4"/>
      <c r="C59" s="4"/>
      <c r="I59" s="3"/>
    </row>
    <row r="60" spans="1:9" x14ac:dyDescent="0.25">
      <c r="A60" s="6"/>
      <c r="B60" s="4"/>
      <c r="C60" s="4"/>
      <c r="I60" s="3"/>
    </row>
    <row r="61" spans="1:9" x14ac:dyDescent="0.25">
      <c r="A61" s="6"/>
      <c r="B61" s="4"/>
      <c r="C61" s="4"/>
      <c r="I61" s="3"/>
    </row>
    <row r="62" spans="1:9" x14ac:dyDescent="0.25">
      <c r="A62" s="6"/>
      <c r="B62" s="4"/>
      <c r="C62" s="4"/>
      <c r="I62" s="3"/>
    </row>
    <row r="63" spans="1:9" x14ac:dyDescent="0.25">
      <c r="A63" s="6"/>
      <c r="B63" s="4"/>
      <c r="C63" s="4"/>
      <c r="I63" s="3"/>
    </row>
    <row r="64" spans="1:9" x14ac:dyDescent="0.25">
      <c r="A64" s="6"/>
      <c r="B64" s="4"/>
      <c r="C64" s="4"/>
      <c r="I64" s="3"/>
    </row>
    <row r="65" spans="1:9" x14ac:dyDescent="0.25">
      <c r="A65" s="6"/>
      <c r="B65" s="4"/>
      <c r="C65" s="4"/>
      <c r="I65" s="3"/>
    </row>
    <row r="66" spans="1:9" x14ac:dyDescent="0.25">
      <c r="A66" s="6"/>
      <c r="B66" s="4"/>
      <c r="C66" s="4"/>
      <c r="I66" s="3"/>
    </row>
    <row r="67" spans="1:9" x14ac:dyDescent="0.25">
      <c r="A67" s="6"/>
      <c r="B67" s="4"/>
      <c r="C67" s="4"/>
      <c r="I67" s="3"/>
    </row>
    <row r="68" spans="1:9" x14ac:dyDescent="0.25">
      <c r="A68" s="6"/>
      <c r="B68" s="4"/>
      <c r="C68" s="4"/>
      <c r="I68" s="3"/>
    </row>
    <row r="69" spans="1:9" x14ac:dyDescent="0.25">
      <c r="A69" s="6"/>
      <c r="B69" s="4"/>
      <c r="C69" s="4"/>
      <c r="I69" s="3"/>
    </row>
    <row r="70" spans="1:9" x14ac:dyDescent="0.25">
      <c r="A70" s="6"/>
      <c r="B70" s="4"/>
      <c r="C70" s="4"/>
      <c r="I70" s="3"/>
    </row>
    <row r="71" spans="1:9" x14ac:dyDescent="0.25">
      <c r="A71" s="6"/>
      <c r="B71" s="4"/>
      <c r="C71" s="4"/>
      <c r="I71" s="3"/>
    </row>
    <row r="72" spans="1:9" x14ac:dyDescent="0.25">
      <c r="A72" s="6"/>
      <c r="B72" s="4"/>
      <c r="C72" s="4"/>
      <c r="I72" s="3"/>
    </row>
    <row r="73" spans="1:9" x14ac:dyDescent="0.25">
      <c r="A73" s="6"/>
      <c r="B73" s="4"/>
      <c r="C73" s="4"/>
      <c r="I73" s="3"/>
    </row>
    <row r="74" spans="1:9" x14ac:dyDescent="0.25">
      <c r="A74" s="6"/>
      <c r="B74" s="4"/>
      <c r="C74" s="4"/>
      <c r="I74" s="3"/>
    </row>
    <row r="75" spans="1:9" x14ac:dyDescent="0.25">
      <c r="A75" s="6"/>
      <c r="B75" s="4"/>
      <c r="C75" s="4"/>
      <c r="I75" s="3"/>
    </row>
    <row r="76" spans="1:9" x14ac:dyDescent="0.25">
      <c r="A76" s="6"/>
      <c r="B76" s="4"/>
      <c r="C76" s="4"/>
      <c r="I76" s="3"/>
    </row>
    <row r="77" spans="1:9" x14ac:dyDescent="0.25">
      <c r="A77" s="6"/>
      <c r="B77" s="4"/>
      <c r="C77" s="4"/>
      <c r="I77" s="3"/>
    </row>
    <row r="78" spans="1:9" x14ac:dyDescent="0.25">
      <c r="A78" s="6"/>
      <c r="B78" s="4"/>
      <c r="C78" s="4"/>
      <c r="I78" s="3"/>
    </row>
    <row r="79" spans="1:9" x14ac:dyDescent="0.25">
      <c r="A79" s="6"/>
      <c r="B79" s="4"/>
      <c r="C79" s="4"/>
      <c r="I79" s="3"/>
    </row>
    <row r="80" spans="1:9" x14ac:dyDescent="0.25">
      <c r="A80" s="6"/>
      <c r="B80" s="4"/>
      <c r="C80" s="4"/>
      <c r="I80" s="3"/>
    </row>
    <row r="81" spans="1:9" x14ac:dyDescent="0.25">
      <c r="A81" s="6"/>
      <c r="B81" s="4"/>
      <c r="C81" s="4"/>
      <c r="I81" s="3"/>
    </row>
    <row r="82" spans="1:9" x14ac:dyDescent="0.25">
      <c r="A82" s="6"/>
      <c r="B82" s="4"/>
      <c r="C82" s="4"/>
      <c r="I82" s="3"/>
    </row>
    <row r="83" spans="1:9" x14ac:dyDescent="0.25">
      <c r="A83" s="6"/>
      <c r="B83" s="4"/>
      <c r="C83" s="4"/>
      <c r="I83" s="3"/>
    </row>
    <row r="84" spans="1:9" x14ac:dyDescent="0.25">
      <c r="A84" s="6"/>
      <c r="B84" s="4"/>
      <c r="C84" s="4"/>
      <c r="I84" s="3"/>
    </row>
    <row r="85" spans="1:9" x14ac:dyDescent="0.25">
      <c r="A85" s="6"/>
      <c r="B85" s="4"/>
      <c r="C85" s="4"/>
      <c r="I85" s="3"/>
    </row>
    <row r="86" spans="1:9" x14ac:dyDescent="0.25">
      <c r="A86" s="6"/>
      <c r="B86" s="4"/>
      <c r="C86" s="4"/>
      <c r="I86" s="3"/>
    </row>
    <row r="87" spans="1:9" x14ac:dyDescent="0.25">
      <c r="A87" s="6"/>
      <c r="B87" s="4"/>
      <c r="C87" s="4"/>
      <c r="I87" s="3"/>
    </row>
  </sheetData>
  <autoFilter ref="A2:O39" xr:uid="{49361AC2-0FC4-4902-86C7-B4FB07E48568}">
    <sortState xmlns:xlrd2="http://schemas.microsoft.com/office/spreadsheetml/2017/richdata2" ref="A3:O18">
      <sortCondition ref="K2:K18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7DDE91-5D7F-4305-9BA4-CAE1FBBF5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Tests</vt:lpstr>
      <vt:lpstr>Tests-Pl</vt:lpstr>
      <vt:lpstr>Tests-Axi</vt:lpstr>
      <vt:lpstr>nano-Axi</vt:lpstr>
      <vt:lpstr>Graphs</vt:lpstr>
      <vt:lpstr>Conserv</vt:lpstr>
      <vt:lpstr>Stacy2014</vt:lpstr>
      <vt:lpstr>ign</vt:lpstr>
      <vt:lpstr>Src</vt:lpstr>
      <vt:lpstr>VarPropEta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mepps</dc:creator>
  <cp:lastModifiedBy>mepps</cp:lastModifiedBy>
  <dcterms:created xsi:type="dcterms:W3CDTF">2019-01-16T22:59:02Z</dcterms:created>
  <dcterms:modified xsi:type="dcterms:W3CDTF">2020-02-01T23:24:52Z</dcterms:modified>
</cp:coreProperties>
</file>